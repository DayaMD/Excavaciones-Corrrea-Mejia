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dayana\EXCAVACIONES CORREA MEJIA S.A.S\SGSST\SG-SST AÑO 2020\10_Plan de Trabajo Anual\"/>
    </mc:Choice>
  </mc:AlternateContent>
  <bookViews>
    <workbookView xWindow="4275" yWindow="3045" windowWidth="15375" windowHeight="7875" tabRatio="584" firstSheet="1" activeTab="1"/>
  </bookViews>
  <sheets>
    <sheet name=" Plan de Trabajo SST" sheetId="5" r:id="rId1"/>
    <sheet name=" Plan de Trabajo SST (2)" sheetId="6" r:id="rId2"/>
  </sheets>
  <definedNames>
    <definedName name="_xlnm.Print_Area" localSheetId="0">' Plan de Trabajo SST'!$A$1:$AD$63</definedName>
    <definedName name="_xlnm.Print_Area" localSheetId="1">' Plan de Trabajo SST (2)'!$A$1:$AD$65</definedName>
    <definedName name="_xlnm.Print_Titles" localSheetId="0">' Plan de Trabajo SST'!$10:$12</definedName>
    <definedName name="_xlnm.Print_Titles" localSheetId="1">' Plan de Trabajo SST (2)'!$10:$12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Z39" i="6" l="1"/>
  <c r="Z43" i="6" s="1"/>
  <c r="Y39" i="6"/>
  <c r="Y43" i="6" s="1"/>
  <c r="X39" i="6"/>
  <c r="X43" i="6" s="1"/>
  <c r="W39" i="6"/>
  <c r="W43" i="6" s="1"/>
  <c r="V39" i="6"/>
  <c r="V43" i="6" s="1"/>
  <c r="U39" i="6"/>
  <c r="U43" i="6" s="1"/>
  <c r="T39" i="6"/>
  <c r="T43" i="6" s="1"/>
  <c r="S39" i="6"/>
  <c r="S43" i="6" s="1"/>
  <c r="R39" i="6"/>
  <c r="R43" i="6" s="1"/>
  <c r="Q39" i="6"/>
  <c r="Q43" i="6" s="1"/>
  <c r="P39" i="6"/>
  <c r="P43" i="6" s="1"/>
  <c r="O39" i="6"/>
  <c r="O43" i="6" s="1"/>
  <c r="N39" i="6"/>
  <c r="N43" i="6" s="1"/>
  <c r="M39" i="6"/>
  <c r="M43" i="6" s="1"/>
  <c r="L39" i="6"/>
  <c r="L43" i="6" s="1"/>
  <c r="K39" i="6"/>
  <c r="K43" i="6" s="1"/>
  <c r="J39" i="6"/>
  <c r="J43" i="6" s="1"/>
  <c r="I39" i="6"/>
  <c r="I43" i="6" s="1"/>
  <c r="H39" i="6"/>
  <c r="H43" i="6" s="1"/>
  <c r="G39" i="6"/>
  <c r="G43" i="6" s="1"/>
  <c r="F39" i="6"/>
  <c r="F43" i="6" s="1"/>
  <c r="E39" i="6"/>
  <c r="E43" i="6" s="1"/>
  <c r="D39" i="6"/>
  <c r="D43" i="6" s="1"/>
  <c r="C39" i="6"/>
  <c r="C43" i="6" s="1"/>
  <c r="I44" i="6" l="1"/>
  <c r="O44" i="6"/>
  <c r="U44" i="6"/>
  <c r="AB43" i="6"/>
  <c r="C44" i="6"/>
  <c r="E44" i="6"/>
  <c r="K44" i="6"/>
  <c r="Q44" i="6"/>
  <c r="W44" i="6"/>
  <c r="G44" i="6"/>
  <c r="M44" i="6"/>
  <c r="S44" i="6"/>
  <c r="Y44" i="6"/>
  <c r="AA43" i="6"/>
  <c r="AD43" i="6" l="1"/>
  <c r="C37" i="5" l="1"/>
  <c r="C41" i="5" s="1"/>
  <c r="Z37" i="5"/>
  <c r="Z41" i="5" s="1"/>
  <c r="Y37" i="5"/>
  <c r="Y41" i="5" s="1"/>
  <c r="X37" i="5"/>
  <c r="X41" i="5" s="1"/>
  <c r="W37" i="5"/>
  <c r="W41" i="5" s="1"/>
  <c r="V37" i="5"/>
  <c r="V41" i="5"/>
  <c r="U37" i="5"/>
  <c r="U41" i="5" s="1"/>
  <c r="T37" i="5"/>
  <c r="T41" i="5" s="1"/>
  <c r="S37" i="5"/>
  <c r="S41" i="5" s="1"/>
  <c r="R37" i="5"/>
  <c r="R41" i="5" s="1"/>
  <c r="Q37" i="5"/>
  <c r="Q41" i="5" s="1"/>
  <c r="P37" i="5"/>
  <c r="P41" i="5" s="1"/>
  <c r="O37" i="5"/>
  <c r="O41" i="5" s="1"/>
  <c r="N37" i="5"/>
  <c r="N41" i="5" s="1"/>
  <c r="M37" i="5"/>
  <c r="M41" i="5" s="1"/>
  <c r="L37" i="5"/>
  <c r="L41" i="5" s="1"/>
  <c r="K37" i="5"/>
  <c r="K41" i="5" s="1"/>
  <c r="J37" i="5"/>
  <c r="J41" i="5" s="1"/>
  <c r="I37" i="5"/>
  <c r="I41" i="5" s="1"/>
  <c r="H37" i="5"/>
  <c r="H41" i="5" s="1"/>
  <c r="G37" i="5"/>
  <c r="G41" i="5" s="1"/>
  <c r="F37" i="5"/>
  <c r="F41" i="5" s="1"/>
  <c r="E37" i="5"/>
  <c r="E41" i="5" s="1"/>
  <c r="D37" i="5"/>
  <c r="D41" i="5" s="1"/>
  <c r="E42" i="5" l="1"/>
  <c r="K42" i="5"/>
  <c r="U42" i="5"/>
  <c r="Q42" i="5"/>
  <c r="I42" i="5"/>
  <c r="AA41" i="5"/>
  <c r="M42" i="5"/>
  <c r="C42" i="5"/>
  <c r="W42" i="5"/>
  <c r="O42" i="5"/>
  <c r="Y42" i="5"/>
  <c r="S42" i="5"/>
  <c r="G42" i="5"/>
  <c r="AB41" i="5"/>
  <c r="AD41" i="5" l="1"/>
</calcChain>
</file>

<file path=xl/sharedStrings.xml><?xml version="1.0" encoding="utf-8"?>
<sst xmlns="http://schemas.openxmlformats.org/spreadsheetml/2006/main" count="335" uniqueCount="106">
  <si>
    <t>OBJETIVO</t>
  </si>
  <si>
    <t>INDICADOR</t>
  </si>
  <si>
    <t>P</t>
  </si>
  <si>
    <t>E</t>
  </si>
  <si>
    <t>CUMPLIMIENTO ANUAL</t>
  </si>
  <si>
    <t>META</t>
  </si>
  <si>
    <t>(Nº de Actividades Ejecutadas / Nº de Actividades Programadas) x 100</t>
  </si>
  <si>
    <t xml:space="preserve">Responsable (s) </t>
  </si>
  <si>
    <t>OBSERVACIONES</t>
  </si>
  <si>
    <t>Total Actividades</t>
  </si>
  <si>
    <t>Actividades Programadas en el Mes</t>
  </si>
  <si>
    <t>JULIO</t>
  </si>
  <si>
    <t>AGOSTO</t>
  </si>
  <si>
    <t>SEPTIEMBRE</t>
  </si>
  <si>
    <t>OCTUBRE</t>
  </si>
  <si>
    <t>NOVIEMBRE</t>
  </si>
  <si>
    <t>ENERO</t>
  </si>
  <si>
    <t>FEBRERO</t>
  </si>
  <si>
    <t>MARZO</t>
  </si>
  <si>
    <t>ABRIL</t>
  </si>
  <si>
    <t>MAYO</t>
  </si>
  <si>
    <t>JUNIO</t>
  </si>
  <si>
    <t>DICIEMBRE</t>
  </si>
  <si>
    <t>% Cumplimiento Meta en el Mes</t>
  </si>
  <si>
    <t>Programado</t>
  </si>
  <si>
    <t>Ejecutado</t>
  </si>
  <si>
    <t>II HACER</t>
  </si>
  <si>
    <t>III VERIFICAR</t>
  </si>
  <si>
    <t>x</t>
  </si>
  <si>
    <t>RECURSOS</t>
  </si>
  <si>
    <t>Financieros</t>
  </si>
  <si>
    <t>IV ACTUAR</t>
  </si>
  <si>
    <t>I PLANEAR</t>
  </si>
  <si>
    <t xml:space="preserve">Humano </t>
  </si>
  <si>
    <t>Ciclo PHVA</t>
  </si>
  <si>
    <t>ACTIVIDADES</t>
  </si>
  <si>
    <t>Externo</t>
  </si>
  <si>
    <t>Gerencia</t>
  </si>
  <si>
    <t>Cumplimiento del 90% de las actividades planeadas</t>
  </si>
  <si>
    <t>Seguimiento al proceso de afiliación al Sistema General de Riesgos</t>
  </si>
  <si>
    <t>ELABORO</t>
  </si>
  <si>
    <t>REVISO</t>
  </si>
  <si>
    <t>APROBO</t>
  </si>
  <si>
    <t xml:space="preserve">PLAN DE TRABAJO ANUAL DE SEGURIDAD Y SALUD EN EL TRABAJO </t>
  </si>
  <si>
    <t xml:space="preserve">Responsable del SG SST </t>
  </si>
  <si>
    <t>Responsable del SG SST</t>
  </si>
  <si>
    <t>PERIODO EVALUADO</t>
  </si>
  <si>
    <t>CRONOGRAMA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</si>
  <si>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</si>
  <si>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</si>
  <si>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</si>
  <si>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</si>
  <si>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</si>
  <si>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</si>
  <si>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</si>
  <si>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</si>
  <si>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</si>
  <si>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</si>
  <si>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</si>
  <si>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</si>
  <si>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% Ejecución Mensual</t>
  </si>
  <si>
    <t>1. CUMPLIMIENTO DEL PLAN DE TRABAJO ANUAL</t>
  </si>
  <si>
    <t>Implementar, Documentar  y ejecutar las actividades que se contemplen en el Sistema de Gestión de Seguridad y Salud en el Trabajo para dar cumpimiento a las metas y objetivos de conformidad con la normatividad legal vigente.</t>
  </si>
  <si>
    <t xml:space="preserve">Revisión y actualización (si lo requiere) de la Política de SST. </t>
  </si>
  <si>
    <t>Elaboración Plan de Trabajo para el año 2021</t>
  </si>
  <si>
    <t>FECHA DE ELABORACIÓN</t>
  </si>
  <si>
    <t>Realizar reuniones del Comité de Convivencia</t>
  </si>
  <si>
    <t>Responsable del SG SST/Comité de Convivencia</t>
  </si>
  <si>
    <t>SISTEMA DE GESTIÓN DE LA SEGURIDAD Y SALUD EN EL TRABAJO</t>
  </si>
  <si>
    <t>Fecha: 24/01/2020</t>
  </si>
  <si>
    <t>Versión 001</t>
  </si>
  <si>
    <t>X</t>
  </si>
  <si>
    <t>Realizar reuniones del VIGIA</t>
  </si>
  <si>
    <t>Responsable del SG SST/VIGIA</t>
  </si>
  <si>
    <t>Gerencia, VIGIA</t>
  </si>
  <si>
    <t>VIGIA</t>
  </si>
  <si>
    <t>Gerencia / VIGIA/ Responsable del SG SST</t>
  </si>
  <si>
    <t>Gerencia, Responsable del SG SST/VIGIA</t>
  </si>
  <si>
    <t>Página1 de 2</t>
  </si>
  <si>
    <t>ENERO - DICIEMBRE DEL AÑO 2020</t>
  </si>
  <si>
    <t>Asignar al responsable del SGSST mediante acta designación firmada por el empleador.</t>
  </si>
  <si>
    <t>Asignar y documentar las responsabilidades específicas en el Sistema de Gestión SST a todos los niveles de la organización.</t>
  </si>
  <si>
    <t xml:space="preserve">Elaborar programa de capacitación en promoción y prevencion. </t>
  </si>
  <si>
    <t>Definir los objetivos del Sistema de Gestión de SST de conformidad con la política de SST</t>
  </si>
  <si>
    <t>Diseñar y definir un plan anual de trabajo para el cumplimiento del Sistema de Gestión de SST,</t>
  </si>
  <si>
    <t>Elaborar un sistema de archivo y retención documental, para los registros y documentos que soportan el Sistema de Gestión de SST.</t>
  </si>
  <si>
    <t>Realizar rendicion de cuentas del desarrollo del sistema de gestion en SST</t>
  </si>
  <si>
    <t>Definir matriz legal que contemple las normas actualizadas del Sistema General de Riesgos Laborales aplicables a la empresa.</t>
  </si>
  <si>
    <t>Disponer de mecanismos eficaces para recibir y responder las comunicaciones internas y externas relativas a la Seguridad y Salud en el Trabajo</t>
  </si>
  <si>
    <t>Realizar procedimiento para la identificación y evaluación de las especificaciones en SST de las compras y adquisición de productos y servicios.</t>
  </si>
  <si>
    <t>Elaborar un procedimiento para evaluar el impacto sobre la Seguridad y Salud en el Trabajo que se pueda generar por cambios internos o externos.</t>
  </si>
  <si>
    <t>Elaborar procedimiento para la identificacion de peligros, evaluacion y valoracion de los riesgos</t>
  </si>
  <si>
    <t>Actualizar matriz de identificación de peligros, evaluacion y valoracion de los riesgos</t>
  </si>
  <si>
    <t>Definir indicadores que permitan evaluar el Sistema de Gestión de SST de acuerdo con las condiciones de la empresa</t>
  </si>
  <si>
    <t>Revisar por parte del gerente los resultados del SG-SST</t>
  </si>
  <si>
    <t>Definir e implementar las acciones preventivas y/o correctivas necesarias con base en los resultados del SGSST</t>
  </si>
  <si>
    <t>Definir e implementar las acciones derivadas de la revision gerencial</t>
  </si>
  <si>
    <t>Definir y asignar los recursos requeridos para la implementación del Sistema de Gestión de SST.</t>
  </si>
  <si>
    <t>MONITOREO DEL PLAN DE TRABAJO ANUAL /VIGENCIA 2020</t>
  </si>
  <si>
    <t>Elaborar descripcion sociodemográfica</t>
  </si>
  <si>
    <t>Indicadores de acuerdo articulo 30 de la resolucion 0312 de 2019</t>
  </si>
  <si>
    <t>Cierre del plan de mejoramiento de la autoevaluacion del año 2019</t>
  </si>
  <si>
    <t xml:space="preserve">Elaborar protocolo de ingreso laboral (Protocolo de bioseguridad para prevenir y mitigar el contagio por covid-19) </t>
  </si>
  <si>
    <t xml:space="preserve">Implementar protocolo de ingreso laboral  (Protocolo de bioseguridad para prevenir y mitigar el contagio por covid-19) </t>
  </si>
  <si>
    <t>Gerencia / Vigia /Personal</t>
  </si>
  <si>
    <t>Vigia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</si>
</sst>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€-2]* #,##0.00_-;\-[$€-2]* #,##0.00_-;_-[$€-2]* &quot;-&quot;??_-"/>
  </numFmts>
  <fonts count="25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sz val="12"/>
      <color theme="2" tint="-0.89999084444715716"/>
      <name val="Arial"/>
      <family val="2"/>
    </font>
    <font>
      <b/>
      <sz val="12"/>
      <color theme="2" tint="-0.89999084444715716"/>
      <name val="Arial"/>
      <family val="2"/>
    </font>
    <font>
      <b/>
      <sz val="12"/>
      <color theme="1"/>
      <name val="Arial"/>
      <family val="2"/>
    </font>
    <font>
      <sz val="1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77111117893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indexed="64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6" fillId="7" borderId="1" applyNumberFormat="0" applyAlignment="0" applyProtection="0"/>
    <xf numFmtId="164" fontId="7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21" borderId="0" applyNumberFormat="0" applyBorder="0" applyAlignment="0" applyProtection="0"/>
    <xf numFmtId="0" fontId="10" fillId="0" borderId="0"/>
    <xf numFmtId="17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16" borderId="3" applyNumberFormat="0" applyAlignment="0" applyProtection="0"/>
    <xf numFmtId="0" fontId="12" fillId="0" borderId="0" applyNumberFormat="0" applyFill="0" applyBorder="0" applyAlignment="0" applyProtection="0"/>
    <xf numFmtId="0" fontId="13" fillId="0" borderId="4" applyNumberFormat="0" applyFill="0" applyAlignment="0" applyProtection="0"/>
  </cellStyleXfs>
  <cellXfs count="127">
    <xf numFmtId="0" fontId="0" fillId="0" borderId="0" xfId="0"/>
    <xf numFmtId="0" fontId="16" fillId="0" borderId="0" xfId="0" applyFont="1"/>
    <xf numFmtId="17" fontId="20" fillId="0" borderId="0" xfId="32" applyFont="1" applyFill="1" applyProtection="1">
      <protection locked="0"/>
    </xf>
    <xf numFmtId="0" fontId="16" fillId="0" borderId="0" xfId="0" applyFont="1" applyFill="1"/>
    <xf numFmtId="0" fontId="16" fillId="0" borderId="0" xfId="0" applyFont="1" applyAlignment="1">
      <alignment horizontal="center"/>
    </xf>
    <xf numFmtId="1" fontId="20" fillId="0" borderId="20" xfId="32" applyNumberFormat="1" applyFont="1" applyFill="1" applyBorder="1" applyAlignment="1" applyProtection="1">
      <alignment horizontal="center" vertical="center"/>
      <protection locked="0"/>
    </xf>
    <xf numFmtId="0" fontId="16" fillId="0" borderId="21" xfId="0" applyFont="1" applyFill="1" applyBorder="1" applyAlignment="1">
      <alignment vertical="center" wrapText="1"/>
    </xf>
    <xf numFmtId="0" fontId="16" fillId="0" borderId="21" xfId="0" applyFont="1" applyFill="1" applyBorder="1" applyAlignment="1">
      <alignment vertical="center"/>
    </xf>
    <xf numFmtId="0" fontId="16" fillId="0" borderId="21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justify"/>
    </xf>
    <xf numFmtId="17" fontId="14" fillId="0" borderId="20" xfId="32" applyFont="1" applyFill="1" applyBorder="1" applyAlignment="1" applyProtection="1">
      <alignment horizontal="center" vertical="center"/>
    </xf>
    <xf numFmtId="1" fontId="20" fillId="23" borderId="20" xfId="32" applyNumberFormat="1" applyFont="1" applyFill="1" applyBorder="1" applyAlignment="1" applyProtection="1">
      <alignment horizontal="center" vertical="center"/>
      <protection locked="0"/>
    </xf>
    <xf numFmtId="1" fontId="20" fillId="23" borderId="22" xfId="32" applyNumberFormat="1" applyFont="1" applyFill="1" applyBorder="1" applyAlignment="1" applyProtection="1">
      <alignment horizontal="center" vertical="center"/>
      <protection locked="0"/>
    </xf>
    <xf numFmtId="0" fontId="16" fillId="0" borderId="23" xfId="0" applyNumberFormat="1" applyFont="1" applyFill="1" applyBorder="1" applyAlignment="1">
      <alignment horizontal="center" vertical="center" wrapText="1"/>
    </xf>
    <xf numFmtId="0" fontId="15" fillId="0" borderId="0" xfId="0" applyFont="1"/>
    <xf numFmtId="0" fontId="15" fillId="0" borderId="0" xfId="0" applyFont="1" applyAlignment="1">
      <alignment vertical="center"/>
    </xf>
    <xf numFmtId="1" fontId="20" fillId="0" borderId="24" xfId="32" applyNumberFormat="1" applyFont="1" applyFill="1" applyBorder="1" applyAlignment="1" applyProtection="1">
      <alignment horizontal="center" vertical="center"/>
      <protection locked="0"/>
    </xf>
    <xf numFmtId="17" fontId="21" fillId="0" borderId="25" xfId="32" applyFont="1" applyFill="1" applyBorder="1" applyAlignment="1" applyProtection="1">
      <alignment horizontal="center" vertical="center" wrapText="1"/>
      <protection locked="0"/>
    </xf>
    <xf numFmtId="0" fontId="16" fillId="0" borderId="26" xfId="0" applyFont="1" applyFill="1" applyBorder="1" applyAlignment="1">
      <alignment horizontal="left" vertical="center" wrapText="1"/>
    </xf>
    <xf numFmtId="1" fontId="20" fillId="0" borderId="26" xfId="32" applyNumberFormat="1" applyFont="1" applyFill="1" applyBorder="1" applyAlignment="1" applyProtection="1">
      <alignment horizontal="center" vertical="center"/>
      <protection locked="0"/>
    </xf>
    <xf numFmtId="17" fontId="21" fillId="0" borderId="27" xfId="32" applyFont="1" applyFill="1" applyBorder="1" applyAlignment="1" applyProtection="1">
      <alignment horizontal="center" vertical="center" wrapText="1"/>
      <protection locked="0"/>
    </xf>
    <xf numFmtId="1" fontId="20" fillId="0" borderId="28" xfId="32" applyNumberFormat="1" applyFont="1" applyFill="1" applyBorder="1" applyAlignment="1" applyProtection="1">
      <alignment horizontal="center" vertical="center"/>
      <protection locked="0"/>
    </xf>
    <xf numFmtId="1" fontId="20" fillId="22" borderId="28" xfId="32" applyNumberFormat="1" applyFont="1" applyFill="1" applyBorder="1" applyAlignment="1" applyProtection="1">
      <alignment horizontal="center" vertical="center"/>
      <protection locked="0"/>
    </xf>
    <xf numFmtId="17" fontId="22" fillId="0" borderId="29" xfId="32" applyFont="1" applyFill="1" applyBorder="1" applyAlignment="1" applyProtection="1">
      <alignment vertical="center" wrapText="1"/>
      <protection locked="0"/>
    </xf>
    <xf numFmtId="9" fontId="18" fillId="0" borderId="30" xfId="33" applyFont="1" applyFill="1" applyBorder="1" applyAlignment="1">
      <alignment horizontal="center" vertical="center"/>
    </xf>
    <xf numFmtId="9" fontId="15" fillId="0" borderId="31" xfId="33" applyFont="1" applyFill="1" applyBorder="1" applyAlignment="1">
      <alignment horizontal="center" vertical="center"/>
    </xf>
    <xf numFmtId="9" fontId="15" fillId="0" borderId="32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vertical="center" wrapText="1"/>
    </xf>
    <xf numFmtId="0" fontId="16" fillId="0" borderId="0" xfId="0" applyFont="1" applyAlignment="1">
      <alignment horizontal="center" vertical="center"/>
    </xf>
    <xf numFmtId="17" fontId="14" fillId="0" borderId="20" xfId="32" applyFont="1" applyFill="1" applyBorder="1" applyAlignment="1" applyProtection="1">
      <alignment horizontal="center" vertical="center"/>
    </xf>
    <xf numFmtId="0" fontId="20" fillId="0" borderId="26" xfId="0" applyFont="1" applyFill="1" applyBorder="1" applyAlignment="1">
      <alignment horizontal="left" vertical="center" wrapText="1"/>
    </xf>
    <xf numFmtId="17" fontId="14" fillId="22" borderId="57" xfId="32" applyFont="1" applyFill="1" applyBorder="1" applyAlignment="1" applyProtection="1">
      <alignment horizontal="center" vertical="center"/>
    </xf>
    <xf numFmtId="17" fontId="14" fillId="0" borderId="57" xfId="32" applyFont="1" applyFill="1" applyBorder="1" applyAlignment="1" applyProtection="1">
      <alignment horizontal="center" vertical="center"/>
    </xf>
    <xf numFmtId="0" fontId="24" fillId="0" borderId="26" xfId="0" applyFont="1" applyFill="1" applyBorder="1" applyAlignment="1">
      <alignment vertical="center" wrapText="1"/>
    </xf>
    <xf numFmtId="17" fontId="20" fillId="0" borderId="27" xfId="32" applyFont="1" applyFill="1" applyBorder="1" applyAlignment="1" applyProtection="1">
      <alignment horizontal="center" vertical="center" wrapText="1"/>
      <protection locked="0"/>
    </xf>
    <xf numFmtId="0" fontId="20" fillId="0" borderId="21" xfId="0" applyFont="1" applyFill="1" applyBorder="1" applyAlignment="1">
      <alignment vertical="center"/>
    </xf>
    <xf numFmtId="0" fontId="20" fillId="0" borderId="0" xfId="0" applyFont="1"/>
    <xf numFmtId="0" fontId="15" fillId="27" borderId="55" xfId="0" applyFont="1" applyFill="1" applyBorder="1" applyAlignment="1">
      <alignment horizontal="center" vertical="center" textRotation="90" wrapText="1"/>
    </xf>
    <xf numFmtId="0" fontId="17" fillId="0" borderId="6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 wrapText="1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wrapText="1"/>
    </xf>
    <xf numFmtId="0" fontId="15" fillId="0" borderId="8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5" fillId="0" borderId="12" xfId="0" applyFont="1" applyBorder="1" applyAlignment="1">
      <alignment horizontal="center" vertical="center"/>
    </xf>
    <xf numFmtId="9" fontId="23" fillId="0" borderId="22" xfId="33" applyFont="1" applyFill="1" applyBorder="1" applyAlignment="1" applyProtection="1">
      <alignment horizontal="center" vertical="center"/>
      <protection locked="0"/>
    </xf>
    <xf numFmtId="9" fontId="23" fillId="0" borderId="34" xfId="33" applyFont="1" applyFill="1" applyBorder="1" applyAlignment="1" applyProtection="1">
      <alignment horizontal="center" vertical="center"/>
      <protection locked="0"/>
    </xf>
    <xf numFmtId="9" fontId="23" fillId="0" borderId="33" xfId="33" applyFont="1" applyFill="1" applyBorder="1" applyAlignment="1" applyProtection="1">
      <alignment horizontal="center" vertical="center"/>
      <protection locked="0"/>
    </xf>
    <xf numFmtId="9" fontId="20" fillId="0" borderId="22" xfId="33" applyFont="1" applyFill="1" applyBorder="1" applyAlignment="1" applyProtection="1">
      <alignment horizontal="center" vertical="center"/>
      <protection locked="0"/>
    </xf>
    <xf numFmtId="9" fontId="20" fillId="0" borderId="34" xfId="33" applyFont="1" applyFill="1" applyBorder="1" applyAlignment="1" applyProtection="1">
      <alignment horizontal="center" vertical="center"/>
      <protection locked="0"/>
    </xf>
    <xf numFmtId="17" fontId="16" fillId="0" borderId="22" xfId="32" applyFont="1" applyFill="1" applyBorder="1" applyAlignment="1" applyProtection="1">
      <alignment horizontal="center" vertical="center"/>
    </xf>
    <xf numFmtId="17" fontId="16" fillId="0" borderId="33" xfId="32" applyFont="1" applyFill="1" applyBorder="1" applyAlignment="1" applyProtection="1">
      <alignment horizontal="center" vertical="center"/>
    </xf>
    <xf numFmtId="1" fontId="15" fillId="0" borderId="41" xfId="0" applyNumberFormat="1" applyFont="1" applyFill="1" applyBorder="1" applyAlignment="1">
      <alignment horizontal="center" vertical="center"/>
    </xf>
    <xf numFmtId="0" fontId="15" fillId="0" borderId="37" xfId="0" applyFont="1" applyBorder="1" applyAlignment="1">
      <alignment horizontal="left"/>
    </xf>
    <xf numFmtId="0" fontId="16" fillId="0" borderId="38" xfId="0" applyFont="1" applyBorder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15" xfId="0" applyFont="1" applyBorder="1" applyAlignment="1">
      <alignment horizontal="left"/>
    </xf>
    <xf numFmtId="0" fontId="16" fillId="0" borderId="16" xfId="0" applyFont="1" applyBorder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19" xfId="0" applyFont="1" applyBorder="1" applyAlignment="1">
      <alignment horizontal="left"/>
    </xf>
    <xf numFmtId="0" fontId="15" fillId="0" borderId="39" xfId="0" applyFont="1" applyFill="1" applyBorder="1" applyAlignment="1">
      <alignment horizontal="justify" vertical="center" wrapText="1"/>
    </xf>
    <xf numFmtId="0" fontId="15" fillId="0" borderId="33" xfId="0" applyFont="1" applyFill="1" applyBorder="1" applyAlignment="1">
      <alignment horizontal="justify" vertical="center" wrapText="1"/>
    </xf>
    <xf numFmtId="9" fontId="20" fillId="0" borderId="33" xfId="33" applyFont="1" applyFill="1" applyBorder="1" applyAlignment="1" applyProtection="1">
      <alignment horizontal="center" vertical="center"/>
      <protection locked="0"/>
    </xf>
    <xf numFmtId="0" fontId="16" fillId="0" borderId="39" xfId="0" applyFont="1" applyFill="1" applyBorder="1" applyAlignment="1">
      <alignment horizontal="justify" vertical="center" wrapText="1"/>
    </xf>
    <xf numFmtId="0" fontId="16" fillId="0" borderId="33" xfId="0" applyFont="1" applyFill="1" applyBorder="1" applyAlignment="1">
      <alignment horizontal="justify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33" xfId="0" applyFont="1" applyFill="1" applyBorder="1" applyAlignment="1">
      <alignment horizontal="center" vertical="center" wrapText="1"/>
    </xf>
    <xf numFmtId="0" fontId="16" fillId="0" borderId="35" xfId="0" applyNumberFormat="1" applyFont="1" applyFill="1" applyBorder="1" applyAlignment="1">
      <alignment horizontal="center" vertical="center" wrapText="1"/>
    </xf>
    <xf numFmtId="0" fontId="16" fillId="0" borderId="36" xfId="0" applyNumberFormat="1" applyFont="1" applyFill="1" applyBorder="1" applyAlignment="1">
      <alignment horizontal="center" vertical="center" wrapText="1"/>
    </xf>
    <xf numFmtId="17" fontId="14" fillId="0" borderId="22" xfId="32" applyFont="1" applyFill="1" applyBorder="1" applyAlignment="1" applyProtection="1">
      <alignment horizontal="center" vertical="center" wrapText="1"/>
    </xf>
    <xf numFmtId="17" fontId="14" fillId="0" borderId="33" xfId="32" applyFont="1" applyFill="1" applyBorder="1" applyAlignment="1" applyProtection="1">
      <alignment horizontal="center" vertical="center" wrapText="1"/>
    </xf>
    <xf numFmtId="0" fontId="15" fillId="0" borderId="37" xfId="0" applyFont="1" applyFill="1" applyBorder="1" applyAlignment="1">
      <alignment horizontal="center" vertical="center" wrapText="1"/>
    </xf>
    <xf numFmtId="0" fontId="15" fillId="0" borderId="38" xfId="0" applyFont="1" applyFill="1" applyBorder="1" applyAlignment="1">
      <alignment horizontal="center" vertical="center" wrapText="1"/>
    </xf>
    <xf numFmtId="0" fontId="15" fillId="0" borderId="40" xfId="0" applyFont="1" applyFill="1" applyBorder="1" applyAlignment="1">
      <alignment horizontal="center" vertical="center" wrapText="1"/>
    </xf>
    <xf numFmtId="1" fontId="15" fillId="0" borderId="20" xfId="0" applyNumberFormat="1" applyFont="1" applyFill="1" applyBorder="1" applyAlignment="1">
      <alignment horizontal="center" vertical="center"/>
    </xf>
    <xf numFmtId="1" fontId="15" fillId="0" borderId="22" xfId="0" applyNumberFormat="1" applyFont="1" applyFill="1" applyBorder="1" applyAlignment="1">
      <alignment horizontal="center" vertical="center"/>
    </xf>
    <xf numFmtId="17" fontId="16" fillId="0" borderId="34" xfId="32" applyFont="1" applyFill="1" applyBorder="1" applyAlignment="1" applyProtection="1">
      <alignment horizontal="center" vertical="center"/>
    </xf>
    <xf numFmtId="0" fontId="15" fillId="0" borderId="50" xfId="0" applyFont="1" applyFill="1" applyBorder="1" applyAlignment="1">
      <alignment horizontal="center" vertical="center"/>
    </xf>
    <xf numFmtId="0" fontId="15" fillId="0" borderId="51" xfId="0" applyFont="1" applyFill="1" applyBorder="1" applyAlignment="1">
      <alignment horizontal="center" vertical="center"/>
    </xf>
    <xf numFmtId="0" fontId="15" fillId="0" borderId="52" xfId="0" applyFont="1" applyFill="1" applyBorder="1" applyAlignment="1">
      <alignment horizontal="center" vertical="center"/>
    </xf>
    <xf numFmtId="0" fontId="16" fillId="23" borderId="44" xfId="0" applyFont="1" applyFill="1" applyBorder="1" applyAlignment="1">
      <alignment horizontal="center" vertical="center" wrapText="1"/>
    </xf>
    <xf numFmtId="0" fontId="16" fillId="23" borderId="45" xfId="0" applyFont="1" applyFill="1" applyBorder="1" applyAlignment="1">
      <alignment horizontal="center" vertical="center" wrapText="1"/>
    </xf>
    <xf numFmtId="0" fontId="16" fillId="23" borderId="46" xfId="0" applyFont="1" applyFill="1" applyBorder="1" applyAlignment="1">
      <alignment horizontal="center" vertical="center" wrapText="1"/>
    </xf>
    <xf numFmtId="0" fontId="15" fillId="0" borderId="47" xfId="0" applyFont="1" applyFill="1" applyBorder="1" applyAlignment="1">
      <alignment horizontal="center" vertical="center" wrapText="1"/>
    </xf>
    <xf numFmtId="0" fontId="15" fillId="0" borderId="28" xfId="0" applyFont="1" applyFill="1" applyBorder="1" applyAlignment="1">
      <alignment horizontal="center" vertical="center" wrapText="1"/>
    </xf>
    <xf numFmtId="17" fontId="14" fillId="0" borderId="48" xfId="32" applyFont="1" applyFill="1" applyBorder="1" applyAlignment="1" applyProtection="1">
      <alignment horizontal="center" vertical="center"/>
    </xf>
    <xf numFmtId="17" fontId="14" fillId="0" borderId="20" xfId="32" applyFont="1" applyFill="1" applyBorder="1" applyAlignment="1" applyProtection="1">
      <alignment horizontal="center" vertical="center"/>
    </xf>
    <xf numFmtId="0" fontId="15" fillId="25" borderId="55" xfId="0" applyFont="1" applyFill="1" applyBorder="1" applyAlignment="1">
      <alignment horizontal="center" vertical="center" textRotation="90" wrapText="1"/>
    </xf>
    <xf numFmtId="0" fontId="15" fillId="24" borderId="5" xfId="0" applyFont="1" applyFill="1" applyBorder="1" applyAlignment="1">
      <alignment horizontal="center" vertical="center"/>
    </xf>
    <xf numFmtId="0" fontId="15" fillId="24" borderId="13" xfId="0" applyFont="1" applyFill="1" applyBorder="1" applyAlignment="1">
      <alignment horizontal="center" vertical="center"/>
    </xf>
    <xf numFmtId="0" fontId="15" fillId="24" borderId="14" xfId="0" applyFont="1" applyFill="1" applyBorder="1" applyAlignment="1">
      <alignment horizontal="center" vertical="center"/>
    </xf>
    <xf numFmtId="17" fontId="14" fillId="0" borderId="49" xfId="32" applyFont="1" applyFill="1" applyBorder="1" applyAlignment="1" applyProtection="1">
      <alignment horizontal="center" vertical="center"/>
    </xf>
    <xf numFmtId="17" fontId="14" fillId="0" borderId="21" xfId="32" applyFont="1" applyFill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 textRotation="90"/>
    </xf>
    <xf numFmtId="0" fontId="15" fillId="26" borderId="55" xfId="0" applyFont="1" applyFill="1" applyBorder="1" applyAlignment="1">
      <alignment horizontal="center" vertical="center" textRotation="90" wrapText="1"/>
    </xf>
    <xf numFmtId="0" fontId="16" fillId="0" borderId="39" xfId="0" applyFont="1" applyFill="1" applyBorder="1" applyAlignment="1">
      <alignment horizontal="center"/>
    </xf>
    <xf numFmtId="0" fontId="16" fillId="0" borderId="34" xfId="0" applyFont="1" applyFill="1" applyBorder="1" applyAlignment="1">
      <alignment horizontal="center"/>
    </xf>
    <xf numFmtId="0" fontId="16" fillId="0" borderId="38" xfId="0" applyFont="1" applyFill="1" applyBorder="1" applyAlignment="1">
      <alignment horizontal="center"/>
    </xf>
    <xf numFmtId="0" fontId="16" fillId="0" borderId="40" xfId="0" applyFont="1" applyFill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17" fontId="15" fillId="24" borderId="5" xfId="32" applyFont="1" applyFill="1" applyBorder="1" applyAlignment="1" applyProtection="1">
      <alignment horizontal="center" vertical="center"/>
    </xf>
    <xf numFmtId="17" fontId="15" fillId="24" borderId="13" xfId="32" applyFont="1" applyFill="1" applyBorder="1" applyAlignment="1" applyProtection="1">
      <alignment horizontal="center" vertical="center"/>
    </xf>
    <xf numFmtId="17" fontId="15" fillId="24" borderId="18" xfId="32" applyFont="1" applyFill="1" applyBorder="1" applyAlignment="1" applyProtection="1">
      <alignment horizontal="center" vertical="center"/>
    </xf>
    <xf numFmtId="17" fontId="15" fillId="24" borderId="19" xfId="32" applyFont="1" applyFill="1" applyBorder="1" applyAlignment="1" applyProtection="1">
      <alignment horizontal="center" vertical="center"/>
    </xf>
    <xf numFmtId="17" fontId="14" fillId="0" borderId="53" xfId="32" applyFont="1" applyFill="1" applyBorder="1" applyAlignment="1" applyProtection="1">
      <alignment horizontal="center" vertical="center" textRotation="90" wrapText="1"/>
    </xf>
    <xf numFmtId="17" fontId="14" fillId="0" borderId="44" xfId="32" applyFont="1" applyFill="1" applyBorder="1" applyAlignment="1" applyProtection="1">
      <alignment horizontal="center" vertical="center" textRotation="90" wrapText="1"/>
    </xf>
    <xf numFmtId="17" fontId="14" fillId="0" borderId="54" xfId="32" applyFont="1" applyFill="1" applyBorder="1" applyAlignment="1" applyProtection="1">
      <alignment horizontal="center" vertical="center" textRotation="90" wrapText="1"/>
    </xf>
    <xf numFmtId="0" fontId="15" fillId="27" borderId="55" xfId="0" applyFont="1" applyFill="1" applyBorder="1" applyAlignment="1">
      <alignment horizontal="center" vertical="center" textRotation="90" wrapText="1"/>
    </xf>
    <xf numFmtId="17" fontId="14" fillId="0" borderId="48" xfId="32" applyFont="1" applyFill="1" applyBorder="1" applyAlignment="1" applyProtection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 wrapText="1"/>
    </xf>
    <xf numFmtId="17" fontId="14" fillId="0" borderId="57" xfId="32" applyFont="1" applyFill="1" applyBorder="1" applyAlignment="1" applyProtection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5" fillId="24" borderId="56" xfId="0" applyFont="1" applyFill="1" applyBorder="1" applyAlignment="1">
      <alignment horizontal="center" vertical="center" textRotation="90" wrapText="1"/>
    </xf>
    <xf numFmtId="0" fontId="15" fillId="24" borderId="55" xfId="0" applyFont="1" applyFill="1" applyBorder="1" applyAlignment="1">
      <alignment horizontal="center" vertical="center" textRotation="90" wrapText="1"/>
    </xf>
    <xf numFmtId="0" fontId="16" fillId="0" borderId="42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6" fillId="0" borderId="43" xfId="0" applyFont="1" applyBorder="1" applyAlignment="1">
      <alignment horizontal="center" wrapText="1"/>
    </xf>
  </cellXfs>
  <cellStyles count="38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elda vinculada" xfId="19" builtinId="24" customBuiltin="1"/>
    <cellStyle name="Encabezado 4" xfId="20" builtinId="19" customBuiltin="1"/>
    <cellStyle name="Énfasis1" xfId="21" builtinId="29" customBuiltin="1"/>
    <cellStyle name="Énfasis2" xfId="22" builtinId="33" customBuiltin="1"/>
    <cellStyle name="Énfasis3" xfId="23" builtinId="37" customBuiltin="1"/>
    <cellStyle name="Énfasis4" xfId="24" builtinId="41" customBuiltin="1"/>
    <cellStyle name="Énfasis5" xfId="25" builtinId="45" customBuiltin="1"/>
    <cellStyle name="Énfasis6" xfId="26" builtinId="49" customBuiltin="1"/>
    <cellStyle name="Entrada" xfId="27" builtinId="20" customBuiltin="1"/>
    <cellStyle name="Euro" xfId="28"/>
    <cellStyle name="Incorrecto" xfId="29" builtinId="27" customBuiltin="1"/>
    <cellStyle name="Neutral" xfId="30" builtinId="28" customBuiltin="1"/>
    <cellStyle name="Normal" xfId="0" builtinId="0"/>
    <cellStyle name="Normal 2" xfId="31"/>
    <cellStyle name="Normal 3" xfId="32"/>
    <cellStyle name="Porcentaje" xfId="33" builtinId="5"/>
    <cellStyle name="Porcentual 2" xfId="34"/>
    <cellStyle name="Salida" xfId="35" builtinId="21" customBuiltin="1"/>
    <cellStyle name="Título" xfId="36" builtinId="15" customBuiltin="1"/>
    <cellStyle name="Total" xfId="37" builtinId="25" customBuiltin="1"/>
  </cellStyles>
  <dxfs count="104"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Seguimiento al Cumplimiento del plan de Trabajo del SGSST Vigencia</a:t>
            </a:r>
          </a:p>
        </c:rich>
      </c:tx>
      <c:layout>
        <c:manualLayout>
          <c:xMode val="edge"/>
          <c:yMode val="edge"/>
          <c:x val="0.1260931067827048"/>
          <c:y val="4.2595776445375516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Cumplimiento Mensual</c:v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' Plan de Trabajo SST'!$C$40:$Z$40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SST'!$C$42:$Z$42</c:f>
              <c:numCache>
                <c:formatCode>0%</c:formatCode>
                <c:ptCount val="24"/>
                <c:pt idx="0">
                  <c:v>1</c:v>
                </c:pt>
                <c:pt idx="2">
                  <c:v>1</c:v>
                </c:pt>
                <c:pt idx="4">
                  <c:v>1</c:v>
                </c:pt>
                <c:pt idx="6">
                  <c:v>1</c:v>
                </c:pt>
                <c:pt idx="8">
                  <c:v>1</c:v>
                </c:pt>
                <c:pt idx="10">
                  <c:v>1</c:v>
                </c:pt>
                <c:pt idx="12">
                  <c:v>1</c:v>
                </c:pt>
                <c:pt idx="14">
                  <c:v>1</c:v>
                </c:pt>
                <c:pt idx="16">
                  <c:v>1</c:v>
                </c:pt>
                <c:pt idx="18">
                  <c:v>1</c:v>
                </c:pt>
                <c:pt idx="20">
                  <c:v>1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B-47D8-9833-D0147C52A659}"/>
            </c:ext>
          </c:extLst>
        </c:ser>
        <c:ser>
          <c:idx val="1"/>
          <c:order val="1"/>
          <c:tx>
            <c:v>Meta Vigencia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' Plan de Trabajo SST'!$C$40:$Z$40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SST'!$C$43:$Z$43</c:f>
              <c:numCache>
                <c:formatCode>0%</c:formatCode>
                <c:ptCount val="24"/>
                <c:pt idx="0">
                  <c:v>0.9</c:v>
                </c:pt>
                <c:pt idx="2">
                  <c:v>0.9</c:v>
                </c:pt>
                <c:pt idx="4">
                  <c:v>0.9</c:v>
                </c:pt>
                <c:pt idx="6">
                  <c:v>0.9</c:v>
                </c:pt>
                <c:pt idx="8">
                  <c:v>0.9</c:v>
                </c:pt>
                <c:pt idx="10">
                  <c:v>0.9</c:v>
                </c:pt>
                <c:pt idx="12">
                  <c:v>0.9</c:v>
                </c:pt>
                <c:pt idx="14">
                  <c:v>0.9</c:v>
                </c:pt>
                <c:pt idx="16">
                  <c:v>0.9</c:v>
                </c:pt>
                <c:pt idx="18">
                  <c:v>0.9</c:v>
                </c:pt>
                <c:pt idx="20">
                  <c:v>0.9</c:v>
                </c:pt>
                <c:pt idx="2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0B-47D8-9833-D0147C52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2506224"/>
        <c:axId val="1"/>
      </c:lineChart>
      <c:catAx>
        <c:axId val="90250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%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90250622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026536814477137"/>
          <c:y val="0.50950580718694571"/>
          <c:w val="0.27152327669567622"/>
          <c:h val="0.1749049258750913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% Cumplimiento de Ejecución del SGSST Vigencia</a:t>
            </a:r>
          </a:p>
        </c:rich>
      </c:tx>
      <c:layout>
        <c:manualLayout>
          <c:xMode val="edge"/>
          <c:yMode val="edge"/>
          <c:x val="0.23150666262870986"/>
          <c:y val="4.838710709941745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% Cumplimiento</c:v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2.6402640264026406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2020</c:v>
              </c:pt>
            </c:numLit>
          </c:cat>
          <c:val>
            <c:numRef>
              <c:f>' Plan de Trabajo SST'!$AD$41</c:f>
              <c:numCache>
                <c:formatCode>0%</c:formatCode>
                <c:ptCount val="1"/>
                <c:pt idx="0">
                  <c:v>0.97959183673469385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6-43BC-B8C6-B4BE5D61FCED}"/>
            </c:ext>
          </c:extLst>
        </c:ser>
        <c:ser>
          <c:idx val="2"/>
          <c:order val="1"/>
          <c:tx>
            <c:v>% Meta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C576-43BC-B8C6-B4BE5D61FCED}"/>
              </c:ext>
            </c:extLst>
          </c:dPt>
          <c:dLbls>
            <c:dLbl>
              <c:idx val="0"/>
              <c:layout>
                <c:manualLayout>
                  <c:x val="5.940594059405941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2020</c:v>
              </c:pt>
            </c:numLit>
          </c:cat>
          <c:val>
            <c:numRef>
              <c:f>' Plan de Trabajo SST'!$AD$43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76-43BC-B8C6-B4BE5D61F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02500224"/>
        <c:axId val="1"/>
        <c:axId val="0"/>
      </c:bar3DChart>
      <c:catAx>
        <c:axId val="90250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902500224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551467124301773"/>
          <c:y val="0.57954740413545869"/>
          <c:w val="0.20391530385624879"/>
          <c:h val="0.204546123807694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Seguimiento al Cumplimiento del plan de Trabajo del SGSST Vigencia 2020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Cumplimiento Mensual</c:v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' Plan de Trabajo SST (2)'!$C$42:$Z$42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 (2)'!$C$44:$Z$44</c:f>
              <c:numCache>
                <c:formatCode>0%</c:formatCode>
                <c:ptCount val="24"/>
                <c:pt idx="0">
                  <c:v>1</c:v>
                </c:pt>
                <c:pt idx="2">
                  <c:v>1</c:v>
                </c:pt>
                <c:pt idx="4">
                  <c:v>1</c:v>
                </c:pt>
                <c:pt idx="6">
                  <c:v>1</c:v>
                </c:pt>
                <c:pt idx="8">
                  <c:v>1</c:v>
                </c:pt>
                <c:pt idx="10">
                  <c:v>1</c:v>
                </c:pt>
                <c:pt idx="12">
                  <c:v>1</c:v>
                </c:pt>
                <c:pt idx="14">
                  <c:v>1</c:v>
                </c:pt>
                <c:pt idx="16">
                  <c:v>1</c:v>
                </c:pt>
                <c:pt idx="18">
                  <c:v>1</c:v>
                </c:pt>
                <c:pt idx="20">
                  <c:v>1</c:v>
                </c:pt>
                <c:pt idx="22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67-47EE-9775-880CDCD62ED9}"/>
            </c:ext>
          </c:extLst>
        </c:ser>
        <c:ser>
          <c:idx val="1"/>
          <c:order val="1"/>
          <c:tx>
            <c:v>Meta Vigencia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' Plan de Trabajo SST (2)'!$C$42:$Z$42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 (2)'!$C$45:$Z$45</c:f>
              <c:numCache>
                <c:formatCode>0%</c:formatCode>
                <c:ptCount val="24"/>
                <c:pt idx="0">
                  <c:v>0.9</c:v>
                </c:pt>
                <c:pt idx="2">
                  <c:v>0.9</c:v>
                </c:pt>
                <c:pt idx="4">
                  <c:v>0.9</c:v>
                </c:pt>
                <c:pt idx="6">
                  <c:v>0.9</c:v>
                </c:pt>
                <c:pt idx="8">
                  <c:v>0.9</c:v>
                </c:pt>
                <c:pt idx="10">
                  <c:v>0.9</c:v>
                </c:pt>
                <c:pt idx="12">
                  <c:v>0.9</c:v>
                </c:pt>
                <c:pt idx="14">
                  <c:v>0.9</c:v>
                </c:pt>
                <c:pt idx="16">
                  <c:v>0.9</c:v>
                </c:pt>
                <c:pt idx="18">
                  <c:v>0.9</c:v>
                </c:pt>
                <c:pt idx="20">
                  <c:v>0.9</c:v>
                </c:pt>
                <c:pt idx="2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67-47EE-9775-880CDCD62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2506224"/>
        <c:axId val="1"/>
      </c:lineChart>
      <c:catAx>
        <c:axId val="90250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2540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90250622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% Cumplimiento de Ejecución del SGSST Vigencia</a:t>
            </a:r>
          </a:p>
        </c:rich>
      </c:tx>
      <c:layout>
        <c:manualLayout>
          <c:xMode val="edge"/>
          <c:yMode val="edge"/>
          <c:x val="0.23150666262870986"/>
          <c:y val="4.838710709941745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% Cumplimiento</c:v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2.6402640264026406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5D67-48A4-8098-774228424387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2020</c:v>
              </c:pt>
            </c:numLit>
          </c:cat>
          <c:val>
            <c:numRef>
              <c:f>' Plan de Trabajo SST (2)'!$AD$43</c:f>
              <c:numCache>
                <c:formatCode>0%</c:formatCode>
                <c:ptCount val="1"/>
                <c:pt idx="0">
                  <c:v>0.98305084745762716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67-48A4-8098-774228424387}"/>
            </c:ext>
          </c:extLst>
        </c:ser>
        <c:ser>
          <c:idx val="2"/>
          <c:order val="1"/>
          <c:tx>
            <c:v>% Meta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D67-48A4-8098-774228424387}"/>
              </c:ext>
            </c:extLst>
          </c:dPt>
          <c:dLbls>
            <c:dLbl>
              <c:idx val="0"/>
              <c:layout>
                <c:manualLayout>
                  <c:x val="5.940594059405941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5D67-48A4-8098-774228424387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2020</c:v>
              </c:pt>
            </c:numLit>
          </c:cat>
          <c:val>
            <c:numRef>
              <c:f>' Plan de Trabajo SST (2)'!$AD$45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67-48A4-8098-77422842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02500224"/>
        <c:axId val="1"/>
        <c:axId val="0"/>
      </c:bar3DChart>
      <c:catAx>
        <c:axId val="90250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902500224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551467124301773"/>
          <c:y val="0.57954740413545869"/>
          <c:w val="0.20391530385624879"/>
          <c:h val="0.204546123807694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44</xdr:row>
      <xdr:rowOff>0</xdr:rowOff>
    </xdr:from>
    <xdr:to>
      <xdr:col>16</xdr:col>
      <xdr:colOff>209550</xdr:colOff>
      <xdr:row>60</xdr:row>
      <xdr:rowOff>66675</xdr:rowOff>
    </xdr:to>
    <xdr:graphicFrame macro="">
      <xdr:nvGraphicFramePr>
        <xdr:cNvPr id="5198974" name="1 Gráfico">
          <a:extLst>
            <a:ext uri="{FF2B5EF4-FFF2-40B4-BE49-F238E27FC236}">
              <a16:creationId xmlns:a16="http://schemas.microsoft.com/office/drawing/2014/main" id="{00000000-0008-0000-0000-00007E544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219075</xdr:colOff>
      <xdr:row>44</xdr:row>
      <xdr:rowOff>9525</xdr:rowOff>
    </xdr:from>
    <xdr:to>
      <xdr:col>29</xdr:col>
      <xdr:colOff>1533525</xdr:colOff>
      <xdr:row>60</xdr:row>
      <xdr:rowOff>85725</xdr:rowOff>
    </xdr:to>
    <xdr:graphicFrame macro="">
      <xdr:nvGraphicFramePr>
        <xdr:cNvPr id="5198975" name="4 Gráfico">
          <a:extLst>
            <a:ext uri="{FF2B5EF4-FFF2-40B4-BE49-F238E27FC236}">
              <a16:creationId xmlns:a16="http://schemas.microsoft.com/office/drawing/2014/main" id="{00000000-0008-0000-0000-00007F544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504825</xdr:colOff>
      <xdr:row>0</xdr:row>
      <xdr:rowOff>66675</xdr:rowOff>
    </xdr:from>
    <xdr:to>
      <xdr:col>1</xdr:col>
      <xdr:colOff>2447925</xdr:colOff>
      <xdr:row>2</xdr:row>
      <xdr:rowOff>466725</xdr:rowOff>
    </xdr:to>
    <xdr:pic>
      <xdr:nvPicPr>
        <xdr:cNvPr id="5198976" name="Imagen 2">
          <a:extLst>
            <a:ext uri="{FF2B5EF4-FFF2-40B4-BE49-F238E27FC236}">
              <a16:creationId xmlns:a16="http://schemas.microsoft.com/office/drawing/2014/main" id="{00000000-0008-0000-0000-000080544F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59"/>
        <a:stretch>
          <a:fillRect/>
        </a:stretch>
      </xdr:blipFill>
      <xdr:spPr bwMode="auto">
        <a:xfrm>
          <a:off x="504825" y="66675"/>
          <a:ext cx="250507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46</xdr:row>
      <xdr:rowOff>0</xdr:rowOff>
    </xdr:from>
    <xdr:to>
      <xdr:col>16</xdr:col>
      <xdr:colOff>209550</xdr:colOff>
      <xdr:row>62</xdr:row>
      <xdr:rowOff>66675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219075</xdr:colOff>
      <xdr:row>46</xdr:row>
      <xdr:rowOff>9525</xdr:rowOff>
    </xdr:from>
    <xdr:to>
      <xdr:col>29</xdr:col>
      <xdr:colOff>1533525</xdr:colOff>
      <xdr:row>62</xdr:row>
      <xdr:rowOff>85725</xdr:rowOff>
    </xdr:to>
    <xdr:graphicFrame macro="">
      <xdr:nvGraphicFramePr>
        <xdr:cNvPr id="3" name="4 Gráfic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504825</xdr:colOff>
      <xdr:row>0</xdr:row>
      <xdr:rowOff>66675</xdr:rowOff>
    </xdr:from>
    <xdr:to>
      <xdr:col>1</xdr:col>
      <xdr:colOff>2447925</xdr:colOff>
      <xdr:row>2</xdr:row>
      <xdr:rowOff>466725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59"/>
        <a:stretch>
          <a:fillRect/>
        </a:stretch>
      </xdr:blipFill>
      <xdr:spPr bwMode="auto">
        <a:xfrm>
          <a:off x="504825" y="66675"/>
          <a:ext cx="250507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-0.249977111117893"/>
    <pageSetUpPr fitToPage="1"/>
  </sheetPr>
  <dimension ref="A1:AF63"/>
  <sheetViews>
    <sheetView showGridLines="0" topLeftCell="A7" zoomScale="115" zoomScaleNormal="115" zoomScaleSheetLayoutView="55" zoomScalePageLayoutView="60" workbookViewId="0">
      <selection activeCell="I15" sqref="I15"/>
    </sheetView>
  </sheetViews>
  <sheetFormatPr baseColWidth="10" defaultRowHeight="15" x14ac:dyDescent="0.2"/>
  <cols>
    <col min="1" max="1" width="8.42578125" style="1" customWidth="1"/>
    <col min="2" max="2" width="49.5703125" style="1" customWidth="1"/>
    <col min="3" max="26" width="4.140625" style="1" customWidth="1"/>
    <col min="27" max="27" width="20.42578125" style="4" customWidth="1"/>
    <col min="28" max="28" width="5.7109375" style="4" customWidth="1"/>
    <col min="29" max="29" width="6.42578125" style="4" customWidth="1"/>
    <col min="30" max="30" width="30.28515625" style="1" customWidth="1"/>
    <col min="31" max="16384" width="11.42578125" style="1"/>
  </cols>
  <sheetData>
    <row r="1" spans="1:32" ht="44.25" customHeight="1" thickBot="1" x14ac:dyDescent="0.25">
      <c r="A1" s="107"/>
      <c r="B1" s="107"/>
      <c r="C1" s="38" t="s">
        <v>68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40" t="s">
        <v>69</v>
      </c>
      <c r="AC1" s="40"/>
      <c r="AD1" s="40"/>
    </row>
    <row r="2" spans="1:32" ht="44.25" customHeight="1" thickBot="1" x14ac:dyDescent="0.25">
      <c r="A2" s="107"/>
      <c r="B2" s="107"/>
      <c r="C2" s="39" t="s">
        <v>43</v>
      </c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40" t="s">
        <v>70</v>
      </c>
      <c r="AC2" s="40"/>
      <c r="AD2" s="40"/>
    </row>
    <row r="3" spans="1:32" ht="44.25" customHeight="1" thickBot="1" x14ac:dyDescent="0.25">
      <c r="A3" s="107"/>
      <c r="B3" s="107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40" t="s">
        <v>78</v>
      </c>
      <c r="AC3" s="40"/>
      <c r="AD3" s="40"/>
    </row>
    <row r="4" spans="1:32" ht="17.25" customHeight="1" thickBot="1" x14ac:dyDescent="0.25">
      <c r="A4" s="124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6"/>
      <c r="AF4" s="27"/>
    </row>
    <row r="5" spans="1:32" ht="21" customHeight="1" thickBot="1" x14ac:dyDescent="0.25">
      <c r="A5" s="93" t="s">
        <v>0</v>
      </c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5"/>
    </row>
    <row r="6" spans="1:32" ht="85.5" customHeight="1" thickBot="1" x14ac:dyDescent="0.25">
      <c r="A6" s="85" t="s">
        <v>62</v>
      </c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7"/>
    </row>
    <row r="7" spans="1:32" ht="24" customHeight="1" thickBot="1" x14ac:dyDescent="0.25">
      <c r="A7" s="93" t="s">
        <v>5</v>
      </c>
      <c r="B7" s="94"/>
      <c r="C7" s="94"/>
      <c r="D7" s="94"/>
      <c r="E7" s="94"/>
      <c r="F7" s="95"/>
      <c r="G7" s="93" t="s">
        <v>1</v>
      </c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5"/>
      <c r="Y7" s="93" t="s">
        <v>46</v>
      </c>
      <c r="Z7" s="94"/>
      <c r="AA7" s="94"/>
      <c r="AB7" s="94"/>
      <c r="AC7" s="94"/>
      <c r="AD7" s="95"/>
    </row>
    <row r="8" spans="1:32" ht="56.25" customHeight="1" thickBot="1" x14ac:dyDescent="0.25">
      <c r="A8" s="98" t="s">
        <v>38</v>
      </c>
      <c r="B8" s="99"/>
      <c r="C8" s="99"/>
      <c r="D8" s="99"/>
      <c r="E8" s="99"/>
      <c r="F8" s="100"/>
      <c r="G8" s="98" t="s">
        <v>6</v>
      </c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100"/>
      <c r="Y8" s="119" t="s">
        <v>79</v>
      </c>
      <c r="Z8" s="120"/>
      <c r="AA8" s="120"/>
      <c r="AB8" s="120"/>
      <c r="AC8" s="120"/>
      <c r="AD8" s="121"/>
    </row>
    <row r="9" spans="1:32" s="2" customFormat="1" ht="24" customHeight="1" thickBot="1" x14ac:dyDescent="0.25">
      <c r="A9" s="108"/>
      <c r="B9" s="109"/>
      <c r="C9" s="109"/>
      <c r="D9" s="109"/>
      <c r="E9" s="109"/>
      <c r="F9" s="109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1"/>
    </row>
    <row r="10" spans="1:32" ht="18" customHeight="1" x14ac:dyDescent="0.2">
      <c r="A10" s="112" t="s">
        <v>34</v>
      </c>
      <c r="B10" s="116" t="s">
        <v>35</v>
      </c>
      <c r="C10" s="90" t="s">
        <v>47</v>
      </c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 t="s">
        <v>7</v>
      </c>
      <c r="AB10" s="90" t="s">
        <v>29</v>
      </c>
      <c r="AC10" s="90"/>
      <c r="AD10" s="96" t="s">
        <v>8</v>
      </c>
    </row>
    <row r="11" spans="1:32" ht="37.5" customHeight="1" x14ac:dyDescent="0.2">
      <c r="A11" s="113"/>
      <c r="B11" s="117"/>
      <c r="C11" s="74" t="s">
        <v>16</v>
      </c>
      <c r="D11" s="75"/>
      <c r="E11" s="74" t="s">
        <v>17</v>
      </c>
      <c r="F11" s="75"/>
      <c r="G11" s="74" t="s">
        <v>18</v>
      </c>
      <c r="H11" s="75"/>
      <c r="I11" s="74" t="s">
        <v>19</v>
      </c>
      <c r="J11" s="75"/>
      <c r="K11" s="74" t="s">
        <v>20</v>
      </c>
      <c r="L11" s="75"/>
      <c r="M11" s="74" t="s">
        <v>21</v>
      </c>
      <c r="N11" s="75"/>
      <c r="O11" s="74" t="s">
        <v>11</v>
      </c>
      <c r="P11" s="75"/>
      <c r="Q11" s="74" t="s">
        <v>12</v>
      </c>
      <c r="R11" s="75"/>
      <c r="S11" s="74" t="s">
        <v>13</v>
      </c>
      <c r="T11" s="75"/>
      <c r="U11" s="74" t="s">
        <v>14</v>
      </c>
      <c r="V11" s="75"/>
      <c r="W11" s="74" t="s">
        <v>15</v>
      </c>
      <c r="X11" s="75"/>
      <c r="Y11" s="74" t="s">
        <v>22</v>
      </c>
      <c r="Z11" s="75"/>
      <c r="AA11" s="91"/>
      <c r="AB11" s="101" t="s">
        <v>33</v>
      </c>
      <c r="AC11" s="101" t="s">
        <v>30</v>
      </c>
      <c r="AD11" s="97"/>
    </row>
    <row r="12" spans="1:32" ht="30" customHeight="1" x14ac:dyDescent="0.2">
      <c r="A12" s="114"/>
      <c r="B12" s="118"/>
      <c r="C12" s="31" t="s">
        <v>2</v>
      </c>
      <c r="D12" s="32" t="s">
        <v>3</v>
      </c>
      <c r="E12" s="31" t="s">
        <v>2</v>
      </c>
      <c r="F12" s="32" t="s">
        <v>3</v>
      </c>
      <c r="G12" s="31" t="s">
        <v>2</v>
      </c>
      <c r="H12" s="32" t="s">
        <v>3</v>
      </c>
      <c r="I12" s="31" t="s">
        <v>2</v>
      </c>
      <c r="J12" s="32" t="s">
        <v>3</v>
      </c>
      <c r="K12" s="31" t="s">
        <v>2</v>
      </c>
      <c r="L12" s="32" t="s">
        <v>3</v>
      </c>
      <c r="M12" s="31" t="s">
        <v>2</v>
      </c>
      <c r="N12" s="32" t="s">
        <v>3</v>
      </c>
      <c r="O12" s="31" t="s">
        <v>2</v>
      </c>
      <c r="P12" s="32" t="s">
        <v>3</v>
      </c>
      <c r="Q12" s="31" t="s">
        <v>2</v>
      </c>
      <c r="R12" s="32" t="s">
        <v>3</v>
      </c>
      <c r="S12" s="31" t="s">
        <v>2</v>
      </c>
      <c r="T12" s="32" t="s">
        <v>3</v>
      </c>
      <c r="U12" s="31" t="s">
        <v>2</v>
      </c>
      <c r="V12" s="32" t="s">
        <v>3</v>
      </c>
      <c r="W12" s="31" t="s">
        <v>2</v>
      </c>
      <c r="X12" s="32" t="s">
        <v>3</v>
      </c>
      <c r="Y12" s="31" t="s">
        <v>2</v>
      </c>
      <c r="Z12" s="10" t="s">
        <v>3</v>
      </c>
      <c r="AA12" s="91"/>
      <c r="AB12" s="101"/>
      <c r="AC12" s="101"/>
      <c r="AD12" s="97"/>
    </row>
    <row r="13" spans="1:32" ht="38.25" customHeight="1" x14ac:dyDescent="0.2">
      <c r="A13" s="122" t="s">
        <v>32</v>
      </c>
      <c r="B13" s="18" t="s">
        <v>64</v>
      </c>
      <c r="C13" s="19">
        <v>1</v>
      </c>
      <c r="D13" s="19">
        <v>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6"/>
      <c r="AA13" s="17" t="s">
        <v>73</v>
      </c>
      <c r="AB13" s="5" t="s">
        <v>28</v>
      </c>
      <c r="AC13" s="5"/>
      <c r="AD13" s="6"/>
    </row>
    <row r="14" spans="1:32" s="36" customFormat="1" ht="38.25" customHeight="1" x14ac:dyDescent="0.2">
      <c r="A14" s="123"/>
      <c r="B14" s="30" t="s">
        <v>63</v>
      </c>
      <c r="C14" s="19"/>
      <c r="D14" s="19"/>
      <c r="E14" s="19"/>
      <c r="F14" s="19"/>
      <c r="G14" s="19">
        <v>1</v>
      </c>
      <c r="H14" s="19">
        <v>1</v>
      </c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34" t="s">
        <v>74</v>
      </c>
      <c r="AB14" s="5" t="s">
        <v>28</v>
      </c>
      <c r="AC14" s="5"/>
      <c r="AD14" s="35"/>
    </row>
    <row r="15" spans="1:32" ht="38.25" customHeight="1" x14ac:dyDescent="0.2">
      <c r="A15" s="123"/>
      <c r="B15" s="18" t="s">
        <v>39</v>
      </c>
      <c r="C15" s="19">
        <v>1</v>
      </c>
      <c r="D15" s="19">
        <v>1</v>
      </c>
      <c r="E15" s="19">
        <v>1</v>
      </c>
      <c r="F15" s="19">
        <v>1</v>
      </c>
      <c r="G15" s="19">
        <v>1</v>
      </c>
      <c r="H15" s="19">
        <v>1</v>
      </c>
      <c r="I15" s="19">
        <v>1</v>
      </c>
      <c r="J15" s="19">
        <v>1</v>
      </c>
      <c r="K15" s="19">
        <v>1</v>
      </c>
      <c r="L15" s="19">
        <v>1</v>
      </c>
      <c r="M15" s="19">
        <v>1</v>
      </c>
      <c r="N15" s="19">
        <v>1</v>
      </c>
      <c r="O15" s="19">
        <v>1</v>
      </c>
      <c r="P15" s="19">
        <v>1</v>
      </c>
      <c r="Q15" s="19">
        <v>1</v>
      </c>
      <c r="R15" s="19">
        <v>1</v>
      </c>
      <c r="S15" s="19">
        <v>1</v>
      </c>
      <c r="T15" s="19">
        <v>1</v>
      </c>
      <c r="U15" s="19">
        <v>1</v>
      </c>
      <c r="V15" s="19">
        <v>1</v>
      </c>
      <c r="W15" s="19">
        <v>1</v>
      </c>
      <c r="X15" s="19">
        <v>1</v>
      </c>
      <c r="Y15" s="19">
        <v>1</v>
      </c>
      <c r="Z15" s="19">
        <v>1</v>
      </c>
      <c r="AA15" s="20" t="s">
        <v>44</v>
      </c>
      <c r="AB15" s="5" t="s">
        <v>28</v>
      </c>
      <c r="AC15" s="5" t="s">
        <v>28</v>
      </c>
      <c r="AD15" s="7"/>
    </row>
    <row r="16" spans="1:32" ht="40.5" customHeight="1" x14ac:dyDescent="0.2">
      <c r="A16" s="123"/>
      <c r="B16" s="18" t="s">
        <v>80</v>
      </c>
      <c r="C16" s="19"/>
      <c r="D16" s="19"/>
      <c r="E16" s="19">
        <v>1</v>
      </c>
      <c r="F16" s="19">
        <v>1</v>
      </c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28" t="s">
        <v>37</v>
      </c>
      <c r="AB16" s="5" t="s">
        <v>28</v>
      </c>
      <c r="AC16" s="5"/>
      <c r="AD16" s="7"/>
    </row>
    <row r="17" spans="1:30" ht="54.75" customHeight="1" x14ac:dyDescent="0.2">
      <c r="A17" s="123"/>
      <c r="B17" s="18" t="s">
        <v>81</v>
      </c>
      <c r="C17" s="19"/>
      <c r="D17" s="19"/>
      <c r="E17" s="19"/>
      <c r="F17" s="19"/>
      <c r="G17" s="19"/>
      <c r="H17" s="19"/>
      <c r="I17" s="19">
        <v>1</v>
      </c>
      <c r="J17" s="19">
        <v>1</v>
      </c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20" t="s">
        <v>44</v>
      </c>
      <c r="AB17" s="5" t="s">
        <v>28</v>
      </c>
      <c r="AC17" s="5"/>
      <c r="AD17" s="6"/>
    </row>
    <row r="18" spans="1:30" ht="51" customHeight="1" x14ac:dyDescent="0.2">
      <c r="A18" s="123"/>
      <c r="B18" s="18" t="s">
        <v>97</v>
      </c>
      <c r="C18" s="19">
        <v>1</v>
      </c>
      <c r="D18" s="19">
        <v>1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20" t="s">
        <v>44</v>
      </c>
      <c r="AB18" s="5" t="s">
        <v>28</v>
      </c>
      <c r="AC18" s="5"/>
      <c r="AD18" s="6"/>
    </row>
    <row r="19" spans="1:30" ht="51" customHeight="1" x14ac:dyDescent="0.2">
      <c r="A19" s="123"/>
      <c r="B19" s="18" t="s">
        <v>82</v>
      </c>
      <c r="C19" s="19"/>
      <c r="D19" s="19"/>
      <c r="E19" s="19"/>
      <c r="F19" s="19"/>
      <c r="G19" s="19">
        <v>1</v>
      </c>
      <c r="H19" s="19">
        <v>1</v>
      </c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20" t="s">
        <v>44</v>
      </c>
      <c r="AB19" s="5" t="s">
        <v>28</v>
      </c>
      <c r="AC19" s="5"/>
      <c r="AD19" s="8"/>
    </row>
    <row r="20" spans="1:30" ht="48.75" customHeight="1" x14ac:dyDescent="0.2">
      <c r="A20" s="123"/>
      <c r="B20" s="18" t="s">
        <v>83</v>
      </c>
      <c r="C20" s="19"/>
      <c r="D20" s="19"/>
      <c r="E20" s="19">
        <v>1</v>
      </c>
      <c r="F20" s="19">
        <v>1</v>
      </c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20" t="s">
        <v>44</v>
      </c>
      <c r="AB20" s="5" t="s">
        <v>28</v>
      </c>
      <c r="AC20" s="5"/>
      <c r="AD20" s="7"/>
    </row>
    <row r="21" spans="1:30" ht="62.25" customHeight="1" x14ac:dyDescent="0.2">
      <c r="A21" s="123"/>
      <c r="B21" s="18" t="s">
        <v>84</v>
      </c>
      <c r="C21" s="19">
        <v>1</v>
      </c>
      <c r="D21" s="19">
        <v>1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20" t="s">
        <v>44</v>
      </c>
      <c r="AB21" s="5" t="s">
        <v>28</v>
      </c>
      <c r="AC21" s="5"/>
      <c r="AD21" s="7"/>
    </row>
    <row r="22" spans="1:30" ht="57.75" customHeight="1" x14ac:dyDescent="0.2">
      <c r="A22" s="123"/>
      <c r="B22" s="18" t="s">
        <v>85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>
        <v>1</v>
      </c>
      <c r="T22" s="19">
        <v>1</v>
      </c>
      <c r="U22" s="19"/>
      <c r="V22" s="19"/>
      <c r="W22" s="19"/>
      <c r="X22" s="19"/>
      <c r="Y22" s="19"/>
      <c r="Z22" s="19"/>
      <c r="AA22" s="20" t="s">
        <v>73</v>
      </c>
      <c r="AB22" s="5" t="s">
        <v>28</v>
      </c>
      <c r="AC22" s="5"/>
      <c r="AD22" s="6"/>
    </row>
    <row r="23" spans="1:30" ht="45" customHeight="1" x14ac:dyDescent="0.2">
      <c r="A23" s="123"/>
      <c r="B23" s="18" t="s">
        <v>86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>
        <v>1</v>
      </c>
      <c r="Z23" s="19">
        <v>1</v>
      </c>
      <c r="AA23" s="20" t="s">
        <v>45</v>
      </c>
      <c r="AB23" s="5" t="s">
        <v>28</v>
      </c>
      <c r="AC23" s="5"/>
      <c r="AD23" s="7"/>
    </row>
    <row r="24" spans="1:30" ht="72.75" customHeight="1" x14ac:dyDescent="0.2">
      <c r="A24" s="123"/>
      <c r="B24" s="18" t="s">
        <v>87</v>
      </c>
      <c r="C24" s="19"/>
      <c r="D24" s="19"/>
      <c r="E24" s="19"/>
      <c r="F24" s="19"/>
      <c r="G24" s="19"/>
      <c r="H24" s="19"/>
      <c r="I24" s="19">
        <v>1</v>
      </c>
      <c r="J24" s="19">
        <v>1</v>
      </c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20" t="s">
        <v>76</v>
      </c>
      <c r="AB24" s="5" t="s">
        <v>28</v>
      </c>
      <c r="AC24" s="5"/>
      <c r="AD24" s="7"/>
    </row>
    <row r="25" spans="1:30" ht="45" customHeight="1" x14ac:dyDescent="0.2">
      <c r="A25" s="123"/>
      <c r="B25" s="18" t="s">
        <v>88</v>
      </c>
      <c r="C25" s="19"/>
      <c r="D25" s="19"/>
      <c r="E25" s="19"/>
      <c r="F25" s="19"/>
      <c r="G25" s="19"/>
      <c r="H25" s="19"/>
      <c r="I25" s="19">
        <v>1</v>
      </c>
      <c r="J25" s="19">
        <v>1</v>
      </c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20" t="s">
        <v>73</v>
      </c>
      <c r="AB25" s="5" t="s">
        <v>28</v>
      </c>
      <c r="AC25" s="5"/>
      <c r="AD25" s="7"/>
    </row>
    <row r="26" spans="1:30" ht="74.25" customHeight="1" x14ac:dyDescent="0.2">
      <c r="A26" s="123"/>
      <c r="B26" s="18" t="s">
        <v>89</v>
      </c>
      <c r="C26" s="19"/>
      <c r="D26" s="19"/>
      <c r="E26" s="19"/>
      <c r="F26" s="19"/>
      <c r="G26" s="19"/>
      <c r="H26" s="19"/>
      <c r="I26" s="19"/>
      <c r="J26" s="19"/>
      <c r="K26" s="19">
        <v>1</v>
      </c>
      <c r="L26" s="19">
        <v>1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20" t="s">
        <v>73</v>
      </c>
      <c r="AB26" s="5" t="s">
        <v>28</v>
      </c>
      <c r="AC26" s="5"/>
      <c r="AD26" s="7"/>
    </row>
    <row r="27" spans="1:30" ht="60" customHeight="1" x14ac:dyDescent="0.2">
      <c r="A27" s="123"/>
      <c r="B27" s="18" t="s">
        <v>90</v>
      </c>
      <c r="C27" s="19"/>
      <c r="D27" s="19"/>
      <c r="E27" s="19"/>
      <c r="F27" s="19"/>
      <c r="G27" s="19"/>
      <c r="H27" s="19"/>
      <c r="I27" s="19"/>
      <c r="J27" s="19"/>
      <c r="K27" s="19">
        <v>1</v>
      </c>
      <c r="L27" s="19">
        <v>1</v>
      </c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20" t="s">
        <v>73</v>
      </c>
      <c r="AB27" s="5" t="s">
        <v>28</v>
      </c>
      <c r="AC27" s="5"/>
      <c r="AD27" s="7"/>
    </row>
    <row r="28" spans="1:30" ht="68.25" customHeight="1" x14ac:dyDescent="0.2">
      <c r="A28" s="115" t="s">
        <v>26</v>
      </c>
      <c r="B28" s="18" t="s">
        <v>99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>
        <v>1</v>
      </c>
      <c r="N28" s="19">
        <v>1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20" t="s">
        <v>77</v>
      </c>
      <c r="AB28" s="5" t="s">
        <v>28</v>
      </c>
      <c r="AC28" s="5" t="s">
        <v>28</v>
      </c>
      <c r="AD28" s="7"/>
    </row>
    <row r="29" spans="1:30" ht="68.25" customHeight="1" x14ac:dyDescent="0.2">
      <c r="A29" s="115"/>
      <c r="B29" s="18" t="s">
        <v>72</v>
      </c>
      <c r="C29" s="19">
        <v>1</v>
      </c>
      <c r="D29" s="19">
        <v>1</v>
      </c>
      <c r="E29" s="19">
        <v>1</v>
      </c>
      <c r="F29" s="19">
        <v>1</v>
      </c>
      <c r="G29" s="19">
        <v>1</v>
      </c>
      <c r="H29" s="19">
        <v>1</v>
      </c>
      <c r="I29" s="19">
        <v>1</v>
      </c>
      <c r="J29" s="19">
        <v>1</v>
      </c>
      <c r="K29" s="19">
        <v>1</v>
      </c>
      <c r="L29" s="19">
        <v>1</v>
      </c>
      <c r="M29" s="19">
        <v>1</v>
      </c>
      <c r="N29" s="19">
        <v>1</v>
      </c>
      <c r="O29" s="19">
        <v>1</v>
      </c>
      <c r="P29" s="19">
        <v>1</v>
      </c>
      <c r="Q29" s="19">
        <v>1</v>
      </c>
      <c r="R29" s="19">
        <v>1</v>
      </c>
      <c r="S29" s="19">
        <v>1</v>
      </c>
      <c r="T29" s="19">
        <v>1</v>
      </c>
      <c r="U29" s="19">
        <v>1</v>
      </c>
      <c r="V29" s="19">
        <v>1</v>
      </c>
      <c r="W29" s="19">
        <v>1</v>
      </c>
      <c r="X29" s="19">
        <v>1</v>
      </c>
      <c r="Y29" s="19">
        <v>1</v>
      </c>
      <c r="Z29" s="19">
        <v>1</v>
      </c>
      <c r="AA29" s="20" t="s">
        <v>73</v>
      </c>
      <c r="AB29" s="5" t="s">
        <v>28</v>
      </c>
      <c r="AC29" s="5"/>
      <c r="AD29" s="6"/>
    </row>
    <row r="30" spans="1:30" ht="68.25" customHeight="1" x14ac:dyDescent="0.2">
      <c r="A30" s="115"/>
      <c r="B30" s="18" t="s">
        <v>66</v>
      </c>
      <c r="C30" s="19"/>
      <c r="D30" s="19"/>
      <c r="E30" s="19">
        <v>1</v>
      </c>
      <c r="F30" s="19">
        <v>1</v>
      </c>
      <c r="G30" s="19"/>
      <c r="H30" s="19"/>
      <c r="I30" s="19"/>
      <c r="J30" s="19"/>
      <c r="K30" s="19">
        <v>1</v>
      </c>
      <c r="L30" s="19">
        <v>1</v>
      </c>
      <c r="M30" s="19"/>
      <c r="N30" s="19"/>
      <c r="O30" s="19"/>
      <c r="P30" s="19"/>
      <c r="Q30" s="19">
        <v>1</v>
      </c>
      <c r="R30" s="19">
        <v>1</v>
      </c>
      <c r="S30" s="19"/>
      <c r="T30" s="19"/>
      <c r="U30" s="19"/>
      <c r="V30" s="19"/>
      <c r="W30" s="19">
        <v>1</v>
      </c>
      <c r="X30" s="19">
        <v>1</v>
      </c>
      <c r="Y30" s="19"/>
      <c r="Z30" s="19"/>
      <c r="AA30" s="20" t="s">
        <v>67</v>
      </c>
      <c r="AB30" s="5" t="s">
        <v>28</v>
      </c>
      <c r="AC30" s="5"/>
      <c r="AD30" s="6"/>
    </row>
    <row r="31" spans="1:30" ht="68.25" customHeight="1" x14ac:dyDescent="0.2">
      <c r="A31" s="115"/>
      <c r="B31" s="18" t="s">
        <v>91</v>
      </c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>
        <v>1</v>
      </c>
      <c r="N31" s="19">
        <v>1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20" t="s">
        <v>75</v>
      </c>
      <c r="AB31" s="5" t="s">
        <v>71</v>
      </c>
      <c r="AC31" s="5"/>
      <c r="AD31" s="6"/>
    </row>
    <row r="32" spans="1:30" ht="68.25" customHeight="1" x14ac:dyDescent="0.2">
      <c r="A32" s="115"/>
      <c r="B32" s="18" t="s">
        <v>92</v>
      </c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>
        <v>1</v>
      </c>
      <c r="N32" s="19">
        <v>1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20" t="s">
        <v>36</v>
      </c>
      <c r="AB32" s="5"/>
      <c r="AC32" s="5" t="s">
        <v>28</v>
      </c>
      <c r="AD32" s="6"/>
    </row>
    <row r="33" spans="1:30" ht="81.75" customHeight="1" x14ac:dyDescent="0.2">
      <c r="A33" s="102" t="s">
        <v>27</v>
      </c>
      <c r="B33" s="33" t="s">
        <v>93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>
        <v>1</v>
      </c>
      <c r="P33" s="19">
        <v>1</v>
      </c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20" t="s">
        <v>36</v>
      </c>
      <c r="AB33" s="5" t="s">
        <v>28</v>
      </c>
      <c r="AC33" s="5" t="s">
        <v>28</v>
      </c>
      <c r="AD33" s="6" t="s">
        <v>100</v>
      </c>
    </row>
    <row r="34" spans="1:30" ht="52.5" customHeight="1" x14ac:dyDescent="0.2">
      <c r="A34" s="102"/>
      <c r="B34" s="33" t="s">
        <v>94</v>
      </c>
      <c r="C34" s="19">
        <v>1</v>
      </c>
      <c r="D34" s="19">
        <v>1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20" t="s">
        <v>37</v>
      </c>
      <c r="AB34" s="5" t="s">
        <v>28</v>
      </c>
      <c r="AC34" s="5"/>
      <c r="AD34" s="7"/>
    </row>
    <row r="35" spans="1:30" ht="77.25" customHeight="1" x14ac:dyDescent="0.2">
      <c r="A35" s="92" t="s">
        <v>31</v>
      </c>
      <c r="B35" s="33" t="s">
        <v>95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>
        <v>1</v>
      </c>
      <c r="X35" s="19">
        <v>1</v>
      </c>
      <c r="Y35" s="19"/>
      <c r="Z35" s="19"/>
      <c r="AA35" s="20" t="s">
        <v>77</v>
      </c>
      <c r="AB35" s="5" t="s">
        <v>28</v>
      </c>
      <c r="AC35" s="5"/>
      <c r="AD35" s="6" t="s">
        <v>101</v>
      </c>
    </row>
    <row r="36" spans="1:30" ht="52.5" customHeight="1" x14ac:dyDescent="0.2">
      <c r="A36" s="92"/>
      <c r="B36" s="33" t="s">
        <v>96</v>
      </c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>
        <v>1</v>
      </c>
      <c r="Z36" s="19"/>
      <c r="AA36" s="20" t="s">
        <v>73</v>
      </c>
      <c r="AB36" s="5" t="s">
        <v>28</v>
      </c>
      <c r="AC36" s="5"/>
      <c r="AD36" s="7"/>
    </row>
    <row r="37" spans="1:30" ht="75" customHeight="1" x14ac:dyDescent="0.2">
      <c r="A37" s="88" t="s">
        <v>9</v>
      </c>
      <c r="B37" s="89"/>
      <c r="C37" s="21">
        <f t="shared" ref="C37:Z37" si="0">SUM(C13:C36)</f>
        <v>6</v>
      </c>
      <c r="D37" s="21">
        <f t="shared" si="0"/>
        <v>6</v>
      </c>
      <c r="E37" s="21">
        <f t="shared" si="0"/>
        <v>5</v>
      </c>
      <c r="F37" s="21">
        <f t="shared" si="0"/>
        <v>5</v>
      </c>
      <c r="G37" s="21">
        <f t="shared" si="0"/>
        <v>4</v>
      </c>
      <c r="H37" s="21">
        <f t="shared" si="0"/>
        <v>4</v>
      </c>
      <c r="I37" s="21">
        <f t="shared" si="0"/>
        <v>5</v>
      </c>
      <c r="J37" s="21">
        <f t="shared" si="0"/>
        <v>5</v>
      </c>
      <c r="K37" s="21">
        <f t="shared" si="0"/>
        <v>5</v>
      </c>
      <c r="L37" s="21">
        <f t="shared" si="0"/>
        <v>5</v>
      </c>
      <c r="M37" s="21">
        <f t="shared" si="0"/>
        <v>5</v>
      </c>
      <c r="N37" s="21">
        <f t="shared" si="0"/>
        <v>5</v>
      </c>
      <c r="O37" s="21">
        <f t="shared" si="0"/>
        <v>3</v>
      </c>
      <c r="P37" s="21">
        <f t="shared" si="0"/>
        <v>3</v>
      </c>
      <c r="Q37" s="21">
        <f t="shared" si="0"/>
        <v>3</v>
      </c>
      <c r="R37" s="21">
        <f t="shared" si="0"/>
        <v>3</v>
      </c>
      <c r="S37" s="21">
        <f t="shared" si="0"/>
        <v>3</v>
      </c>
      <c r="T37" s="21">
        <f t="shared" si="0"/>
        <v>3</v>
      </c>
      <c r="U37" s="21">
        <f t="shared" si="0"/>
        <v>2</v>
      </c>
      <c r="V37" s="21">
        <f t="shared" si="0"/>
        <v>2</v>
      </c>
      <c r="W37" s="21">
        <f t="shared" si="0"/>
        <v>4</v>
      </c>
      <c r="X37" s="21">
        <f t="shared" si="0"/>
        <v>4</v>
      </c>
      <c r="Y37" s="22">
        <f t="shared" si="0"/>
        <v>4</v>
      </c>
      <c r="Z37" s="21">
        <f t="shared" si="0"/>
        <v>3</v>
      </c>
      <c r="AA37" s="23"/>
      <c r="AB37" s="5"/>
      <c r="AC37" s="5"/>
      <c r="AD37" s="9"/>
    </row>
    <row r="38" spans="1:30" ht="15" customHeight="1" x14ac:dyDescent="0.2">
      <c r="A38" s="76" t="s">
        <v>98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8"/>
    </row>
    <row r="39" spans="1:30" s="3" customFormat="1" ht="8.25" customHeight="1" thickBot="1" x14ac:dyDescent="0.25">
      <c r="A39" s="103"/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5"/>
      <c r="AB39" s="105"/>
      <c r="AC39" s="105"/>
      <c r="AD39" s="106"/>
    </row>
    <row r="40" spans="1:30" ht="24" customHeight="1" x14ac:dyDescent="0.2">
      <c r="A40" s="70" t="s">
        <v>61</v>
      </c>
      <c r="B40" s="71"/>
      <c r="C40" s="54" t="s">
        <v>48</v>
      </c>
      <c r="D40" s="55"/>
      <c r="E40" s="54" t="s">
        <v>49</v>
      </c>
      <c r="F40" s="55"/>
      <c r="G40" s="54" t="s">
        <v>50</v>
      </c>
      <c r="H40" s="55"/>
      <c r="I40" s="54" t="s">
        <v>51</v>
      </c>
      <c r="J40" s="55"/>
      <c r="K40" s="54" t="s">
        <v>52</v>
      </c>
      <c r="L40" s="55"/>
      <c r="M40" s="54" t="s">
        <v>53</v>
      </c>
      <c r="N40" s="55"/>
      <c r="O40" s="54" t="s">
        <v>54</v>
      </c>
      <c r="P40" s="55"/>
      <c r="Q40" s="54" t="s">
        <v>55</v>
      </c>
      <c r="R40" s="55"/>
      <c r="S40" s="54" t="s">
        <v>56</v>
      </c>
      <c r="T40" s="55"/>
      <c r="U40" s="54" t="s">
        <v>57</v>
      </c>
      <c r="V40" s="55"/>
      <c r="W40" s="54" t="s">
        <v>58</v>
      </c>
      <c r="X40" s="55"/>
      <c r="Y40" s="54" t="s">
        <v>59</v>
      </c>
      <c r="Z40" s="81"/>
      <c r="AA40" s="82" t="s">
        <v>4</v>
      </c>
      <c r="AB40" s="83"/>
      <c r="AC40" s="83"/>
      <c r="AD40" s="84"/>
    </row>
    <row r="41" spans="1:30" ht="23.1" customHeight="1" thickBot="1" x14ac:dyDescent="0.25">
      <c r="A41" s="68" t="s">
        <v>10</v>
      </c>
      <c r="B41" s="69"/>
      <c r="C41" s="11">
        <f>SUM(C37)</f>
        <v>6</v>
      </c>
      <c r="D41" s="11">
        <f t="shared" ref="D41:Z41" si="1">D37</f>
        <v>6</v>
      </c>
      <c r="E41" s="11">
        <f t="shared" si="1"/>
        <v>5</v>
      </c>
      <c r="F41" s="11">
        <f t="shared" si="1"/>
        <v>5</v>
      </c>
      <c r="G41" s="11">
        <f t="shared" si="1"/>
        <v>4</v>
      </c>
      <c r="H41" s="11">
        <f t="shared" si="1"/>
        <v>4</v>
      </c>
      <c r="I41" s="11">
        <f t="shared" si="1"/>
        <v>5</v>
      </c>
      <c r="J41" s="11">
        <f t="shared" si="1"/>
        <v>5</v>
      </c>
      <c r="K41" s="11">
        <f t="shared" si="1"/>
        <v>5</v>
      </c>
      <c r="L41" s="11">
        <f t="shared" si="1"/>
        <v>5</v>
      </c>
      <c r="M41" s="11">
        <f t="shared" si="1"/>
        <v>5</v>
      </c>
      <c r="N41" s="11">
        <f t="shared" si="1"/>
        <v>5</v>
      </c>
      <c r="O41" s="11">
        <f t="shared" si="1"/>
        <v>3</v>
      </c>
      <c r="P41" s="11">
        <f t="shared" si="1"/>
        <v>3</v>
      </c>
      <c r="Q41" s="11">
        <f t="shared" si="1"/>
        <v>3</v>
      </c>
      <c r="R41" s="11">
        <f t="shared" si="1"/>
        <v>3</v>
      </c>
      <c r="S41" s="11">
        <f t="shared" si="1"/>
        <v>3</v>
      </c>
      <c r="T41" s="11">
        <f t="shared" si="1"/>
        <v>3</v>
      </c>
      <c r="U41" s="11">
        <f t="shared" si="1"/>
        <v>2</v>
      </c>
      <c r="V41" s="11">
        <f t="shared" si="1"/>
        <v>2</v>
      </c>
      <c r="W41" s="11">
        <f t="shared" si="1"/>
        <v>4</v>
      </c>
      <c r="X41" s="11">
        <f t="shared" si="1"/>
        <v>4</v>
      </c>
      <c r="Y41" s="11">
        <f t="shared" si="1"/>
        <v>4</v>
      </c>
      <c r="Z41" s="12">
        <f t="shared" si="1"/>
        <v>3</v>
      </c>
      <c r="AA41" s="56">
        <f>C41+E41+G41+I41+K41+M41+O41+Q41+S41+U41+W41+Y41</f>
        <v>49</v>
      </c>
      <c r="AB41" s="79">
        <f>D41+F41+H41+J41+L41+N41+P41+R41+T41+V41+X41+Z41</f>
        <v>48</v>
      </c>
      <c r="AC41" s="79"/>
      <c r="AD41" s="24">
        <f>AB41/AA41</f>
        <v>0.97959183673469385</v>
      </c>
    </row>
    <row r="42" spans="1:30" ht="18" customHeight="1" x14ac:dyDescent="0.2">
      <c r="A42" s="68" t="s">
        <v>60</v>
      </c>
      <c r="B42" s="69"/>
      <c r="C42" s="52">
        <f>D41/C41</f>
        <v>1</v>
      </c>
      <c r="D42" s="67"/>
      <c r="E42" s="52">
        <f>F41/E41</f>
        <v>1</v>
      </c>
      <c r="F42" s="67"/>
      <c r="G42" s="52">
        <f>H41/G41</f>
        <v>1</v>
      </c>
      <c r="H42" s="67"/>
      <c r="I42" s="52">
        <f>J41/I41</f>
        <v>1</v>
      </c>
      <c r="J42" s="67"/>
      <c r="K42" s="52">
        <f>L41/K41</f>
        <v>1</v>
      </c>
      <c r="L42" s="67"/>
      <c r="M42" s="52">
        <f>N41/M41</f>
        <v>1</v>
      </c>
      <c r="N42" s="67"/>
      <c r="O42" s="52">
        <f>P41/O41</f>
        <v>1</v>
      </c>
      <c r="P42" s="67"/>
      <c r="Q42" s="52">
        <f>R41/Q41</f>
        <v>1</v>
      </c>
      <c r="R42" s="67"/>
      <c r="S42" s="52">
        <f>T41/S41</f>
        <v>1</v>
      </c>
      <c r="T42" s="67"/>
      <c r="U42" s="52">
        <f>V41/U41</f>
        <v>1</v>
      </c>
      <c r="V42" s="67"/>
      <c r="W42" s="52">
        <f>X41/W41</f>
        <v>1</v>
      </c>
      <c r="X42" s="67"/>
      <c r="Y42" s="52">
        <f>Z41/Y41</f>
        <v>0.75</v>
      </c>
      <c r="Z42" s="53"/>
      <c r="AA42" s="56"/>
      <c r="AB42" s="79"/>
      <c r="AC42" s="80"/>
      <c r="AD42" s="25" t="s">
        <v>5</v>
      </c>
    </row>
    <row r="43" spans="1:30" ht="23.25" customHeight="1" thickBot="1" x14ac:dyDescent="0.25">
      <c r="A43" s="65" t="s">
        <v>23</v>
      </c>
      <c r="B43" s="66"/>
      <c r="C43" s="49">
        <v>0.9</v>
      </c>
      <c r="D43" s="51"/>
      <c r="E43" s="49">
        <v>0.9</v>
      </c>
      <c r="F43" s="51"/>
      <c r="G43" s="49">
        <v>0.9</v>
      </c>
      <c r="H43" s="51"/>
      <c r="I43" s="49">
        <v>0.9</v>
      </c>
      <c r="J43" s="51"/>
      <c r="K43" s="49">
        <v>0.9</v>
      </c>
      <c r="L43" s="51"/>
      <c r="M43" s="49">
        <v>0.9</v>
      </c>
      <c r="N43" s="51"/>
      <c r="O43" s="49">
        <v>0.9</v>
      </c>
      <c r="P43" s="51"/>
      <c r="Q43" s="49">
        <v>0.9</v>
      </c>
      <c r="R43" s="51"/>
      <c r="S43" s="49">
        <v>0.9</v>
      </c>
      <c r="T43" s="51"/>
      <c r="U43" s="49">
        <v>0.9</v>
      </c>
      <c r="V43" s="51"/>
      <c r="W43" s="49">
        <v>0.9</v>
      </c>
      <c r="X43" s="51"/>
      <c r="Y43" s="49">
        <v>0.9</v>
      </c>
      <c r="Z43" s="50"/>
      <c r="AA43" s="13" t="s">
        <v>24</v>
      </c>
      <c r="AB43" s="72" t="s">
        <v>25</v>
      </c>
      <c r="AC43" s="73"/>
      <c r="AD43" s="26">
        <v>0.9</v>
      </c>
    </row>
    <row r="44" spans="1:30" x14ac:dyDescent="0.2">
      <c r="A44" s="57"/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9"/>
      <c r="AB44" s="59"/>
      <c r="AC44" s="59"/>
      <c r="AD44" s="60"/>
    </row>
    <row r="45" spans="1:30" x14ac:dyDescent="0.2">
      <c r="A45" s="61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60"/>
    </row>
    <row r="46" spans="1:30" x14ac:dyDescent="0.2">
      <c r="A46" s="61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60"/>
    </row>
    <row r="47" spans="1:30" x14ac:dyDescent="0.2">
      <c r="A47" s="61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60"/>
    </row>
    <row r="48" spans="1:30" x14ac:dyDescent="0.2">
      <c r="A48" s="61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60"/>
    </row>
    <row r="49" spans="1:30" x14ac:dyDescent="0.2">
      <c r="A49" s="61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60"/>
    </row>
    <row r="50" spans="1:30" x14ac:dyDescent="0.2">
      <c r="A50" s="61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60"/>
    </row>
    <row r="51" spans="1:30" x14ac:dyDescent="0.2">
      <c r="A51" s="61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60"/>
    </row>
    <row r="52" spans="1:30" x14ac:dyDescent="0.2">
      <c r="A52" s="61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60"/>
    </row>
    <row r="53" spans="1:30" x14ac:dyDescent="0.2">
      <c r="A53" s="61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60"/>
    </row>
    <row r="54" spans="1:30" x14ac:dyDescent="0.2">
      <c r="A54" s="61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60"/>
    </row>
    <row r="55" spans="1:30" x14ac:dyDescent="0.2">
      <c r="A55" s="61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60"/>
    </row>
    <row r="56" spans="1:30" x14ac:dyDescent="0.2">
      <c r="A56" s="61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60"/>
    </row>
    <row r="57" spans="1:30" x14ac:dyDescent="0.2">
      <c r="A57" s="61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60"/>
    </row>
    <row r="58" spans="1:30" x14ac:dyDescent="0.2">
      <c r="A58" s="61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60"/>
    </row>
    <row r="59" spans="1:30" x14ac:dyDescent="0.2">
      <c r="A59" s="61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60"/>
    </row>
    <row r="60" spans="1:30" x14ac:dyDescent="0.2">
      <c r="A60" s="61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60"/>
    </row>
    <row r="61" spans="1:30" ht="11.25" customHeight="1" thickBot="1" x14ac:dyDescent="0.25">
      <c r="A61" s="62"/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4"/>
    </row>
    <row r="62" spans="1:30" s="15" customFormat="1" ht="26.25" customHeight="1" x14ac:dyDescent="0.2">
      <c r="A62" s="48" t="s">
        <v>65</v>
      </c>
      <c r="B62" s="43"/>
      <c r="C62" s="43" t="s">
        <v>40</v>
      </c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 t="s">
        <v>41</v>
      </c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 t="s">
        <v>42</v>
      </c>
      <c r="AB62" s="43"/>
      <c r="AC62" s="43"/>
      <c r="AD62" s="44"/>
    </row>
    <row r="63" spans="1:30" s="14" customFormat="1" ht="121.5" customHeight="1" thickBot="1" x14ac:dyDescent="0.3">
      <c r="A63" s="41"/>
      <c r="B63" s="42"/>
      <c r="C63" s="45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5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5"/>
      <c r="AB63" s="46"/>
      <c r="AC63" s="46"/>
      <c r="AD63" s="47"/>
    </row>
  </sheetData>
  <mergeCells count="96">
    <mergeCell ref="A1:B3"/>
    <mergeCell ref="A9:AD9"/>
    <mergeCell ref="A10:A12"/>
    <mergeCell ref="AB11:AB12"/>
    <mergeCell ref="A28:A32"/>
    <mergeCell ref="C11:D11"/>
    <mergeCell ref="B10:B12"/>
    <mergeCell ref="Y8:AD8"/>
    <mergeCell ref="S11:T11"/>
    <mergeCell ref="I11:J11"/>
    <mergeCell ref="A13:A27"/>
    <mergeCell ref="C10:Z10"/>
    <mergeCell ref="U11:V11"/>
    <mergeCell ref="A4:AD4"/>
    <mergeCell ref="A5:AD5"/>
    <mergeCell ref="E11:F11"/>
    <mergeCell ref="AC11:AC12"/>
    <mergeCell ref="G7:X7"/>
    <mergeCell ref="A33:A34"/>
    <mergeCell ref="I40:J40"/>
    <mergeCell ref="K40:L40"/>
    <mergeCell ref="M40:N40"/>
    <mergeCell ref="O40:P40"/>
    <mergeCell ref="S40:T40"/>
    <mergeCell ref="U40:V40"/>
    <mergeCell ref="A39:AD39"/>
    <mergeCell ref="A6:AD6"/>
    <mergeCell ref="A37:B37"/>
    <mergeCell ref="Q11:R11"/>
    <mergeCell ref="AA10:AA12"/>
    <mergeCell ref="A35:A36"/>
    <mergeCell ref="Y7:AD7"/>
    <mergeCell ref="AB10:AC10"/>
    <mergeCell ref="AD10:AD12"/>
    <mergeCell ref="O11:P11"/>
    <mergeCell ref="G11:H11"/>
    <mergeCell ref="W11:X11"/>
    <mergeCell ref="Y11:Z11"/>
    <mergeCell ref="G8:X8"/>
    <mergeCell ref="A7:F7"/>
    <mergeCell ref="A8:F8"/>
    <mergeCell ref="K11:L11"/>
    <mergeCell ref="K42:L42"/>
    <mergeCell ref="M42:N42"/>
    <mergeCell ref="M11:N11"/>
    <mergeCell ref="S42:T42"/>
    <mergeCell ref="Q43:R43"/>
    <mergeCell ref="S43:T43"/>
    <mergeCell ref="A38:AD38"/>
    <mergeCell ref="W42:X42"/>
    <mergeCell ref="C40:D40"/>
    <mergeCell ref="AB41:AC42"/>
    <mergeCell ref="W40:X40"/>
    <mergeCell ref="Y40:Z40"/>
    <mergeCell ref="AA40:AD40"/>
    <mergeCell ref="E40:F40"/>
    <mergeCell ref="U42:V42"/>
    <mergeCell ref="G40:H40"/>
    <mergeCell ref="Y42:Z42"/>
    <mergeCell ref="Q40:R40"/>
    <mergeCell ref="AA41:AA42"/>
    <mergeCell ref="A44:AD61"/>
    <mergeCell ref="A43:B43"/>
    <mergeCell ref="C43:D43"/>
    <mergeCell ref="Q42:R42"/>
    <mergeCell ref="C42:D42"/>
    <mergeCell ref="E42:F42"/>
    <mergeCell ref="G42:H42"/>
    <mergeCell ref="I42:J42"/>
    <mergeCell ref="O42:P42"/>
    <mergeCell ref="A41:B41"/>
    <mergeCell ref="A40:B40"/>
    <mergeCell ref="A42:B42"/>
    <mergeCell ref="AB43:AC43"/>
    <mergeCell ref="Y43:Z43"/>
    <mergeCell ref="E43:F43"/>
    <mergeCell ref="G43:H43"/>
    <mergeCell ref="O43:P43"/>
    <mergeCell ref="U43:V43"/>
    <mergeCell ref="W43:X43"/>
    <mergeCell ref="I43:J43"/>
    <mergeCell ref="K43:L43"/>
    <mergeCell ref="M43:N43"/>
    <mergeCell ref="A63:B63"/>
    <mergeCell ref="AA62:AD62"/>
    <mergeCell ref="O62:Z62"/>
    <mergeCell ref="C62:N62"/>
    <mergeCell ref="C63:N63"/>
    <mergeCell ref="O63:Z63"/>
    <mergeCell ref="AA63:AD63"/>
    <mergeCell ref="A62:B62"/>
    <mergeCell ref="C1:AA1"/>
    <mergeCell ref="C2:AA3"/>
    <mergeCell ref="AB1:AD1"/>
    <mergeCell ref="AB2:AD2"/>
    <mergeCell ref="AB3:AD3"/>
  </mergeCells>
  <conditionalFormatting sqref="C42:C43 E42:E43 G42:G43 K42:K43 O42:O43 S42:S43 W42:W43 I42:I43 M42:M43 Q42:Q43 U42:U43 Y42:Y43 AB13:AC16 AB18:AC18 AB20:AC28 C13:Z14 AB32:AC37 C16:Z37">
    <cfRule type="cellIs" dxfId="103" priority="395" operator="between">
      <formula>1</formula>
      <formula>9</formula>
    </cfRule>
    <cfRule type="cellIs" dxfId="102" priority="396" stopIfTrue="1" operator="equal">
      <formula>0</formula>
    </cfRule>
    <cfRule type="cellIs" dxfId="101" priority="397" stopIfTrue="1" operator="equal">
      <formula>0</formula>
    </cfRule>
    <cfRule type="cellIs" dxfId="100" priority="398" stopIfTrue="1" operator="equal">
      <formula>0</formula>
    </cfRule>
    <cfRule type="cellIs" dxfId="99" priority="399" stopIfTrue="1" operator="equal">
      <formula>0</formula>
    </cfRule>
    <cfRule type="cellIs" dxfId="98" priority="400" stopIfTrue="1" operator="equal">
      <formula>1</formula>
    </cfRule>
  </conditionalFormatting>
  <conditionalFormatting sqref="C42:C43 E42:E43 G42:G43 K42:K43 O42:O43 S42:S43 W42:W43 I42:I43 M42:M43 Q42:Q43 U42:U43 Y42:Y43 AB13:AC16 AB18:AC18 AB20:AC28 C13:Z14 AB32:AC37 C16:Z37">
    <cfRule type="cellIs" dxfId="97" priority="394" operator="equal">
      <formula>0</formula>
    </cfRule>
  </conditionalFormatting>
  <conditionalFormatting sqref="C42:C43 E42:E43 G42:G43 K42:K43 O42:O43 S42:S43 W42:W43 I42:I43 M42:M43 Q42:Q43 U42:U43 Y42:Y43 AB13:AC16 AB18:AC18 AB20:AC28 C13:Z14 AB32:AC37 C16:Z37">
    <cfRule type="cellIs" dxfId="96" priority="393" stopIfTrue="1" operator="equal">
      <formula>0</formula>
    </cfRule>
  </conditionalFormatting>
  <conditionalFormatting sqref="AB17:AC17">
    <cfRule type="cellIs" dxfId="95" priority="35" operator="between">
      <formula>1</formula>
      <formula>9</formula>
    </cfRule>
    <cfRule type="cellIs" dxfId="94" priority="36" stopIfTrue="1" operator="equal">
      <formula>0</formula>
    </cfRule>
    <cfRule type="cellIs" dxfId="93" priority="37" stopIfTrue="1" operator="equal">
      <formula>0</formula>
    </cfRule>
    <cfRule type="cellIs" dxfId="92" priority="38" stopIfTrue="1" operator="equal">
      <formula>0</formula>
    </cfRule>
    <cfRule type="cellIs" dxfId="91" priority="39" stopIfTrue="1" operator="equal">
      <formula>0</formula>
    </cfRule>
    <cfRule type="cellIs" dxfId="90" priority="40" stopIfTrue="1" operator="equal">
      <formula>1</formula>
    </cfRule>
  </conditionalFormatting>
  <conditionalFormatting sqref="AB17:AC17">
    <cfRule type="cellIs" dxfId="89" priority="34" operator="equal">
      <formula>0</formula>
    </cfRule>
  </conditionalFormatting>
  <conditionalFormatting sqref="AB17:AC17">
    <cfRule type="cellIs" dxfId="88" priority="33" stopIfTrue="1" operator="equal">
      <formula>0</formula>
    </cfRule>
  </conditionalFormatting>
  <conditionalFormatting sqref="AB19:AC19">
    <cfRule type="cellIs" dxfId="87" priority="27" operator="between">
      <formula>1</formula>
      <formula>9</formula>
    </cfRule>
    <cfRule type="cellIs" dxfId="86" priority="28" stopIfTrue="1" operator="equal">
      <formula>0</formula>
    </cfRule>
    <cfRule type="cellIs" dxfId="85" priority="29" stopIfTrue="1" operator="equal">
      <formula>0</formula>
    </cfRule>
    <cfRule type="cellIs" dxfId="84" priority="30" stopIfTrue="1" operator="equal">
      <formula>0</formula>
    </cfRule>
    <cfRule type="cellIs" dxfId="83" priority="31" stopIfTrue="1" operator="equal">
      <formula>0</formula>
    </cfRule>
    <cfRule type="cellIs" dxfId="82" priority="32" stopIfTrue="1" operator="equal">
      <formula>1</formula>
    </cfRule>
  </conditionalFormatting>
  <conditionalFormatting sqref="AB19:AC19">
    <cfRule type="cellIs" dxfId="81" priority="26" operator="equal">
      <formula>0</formula>
    </cfRule>
  </conditionalFormatting>
  <conditionalFormatting sqref="AB19:AC19">
    <cfRule type="cellIs" dxfId="80" priority="25" stopIfTrue="1" operator="equal">
      <formula>0</formula>
    </cfRule>
  </conditionalFormatting>
  <conditionalFormatting sqref="AB29:AC29">
    <cfRule type="cellIs" dxfId="79" priority="19" operator="between">
      <formula>1</formula>
      <formula>9</formula>
    </cfRule>
    <cfRule type="cellIs" dxfId="78" priority="20" stopIfTrue="1" operator="equal">
      <formula>0</formula>
    </cfRule>
    <cfRule type="cellIs" dxfId="77" priority="21" stopIfTrue="1" operator="equal">
      <formula>0</formula>
    </cfRule>
    <cfRule type="cellIs" dxfId="76" priority="22" stopIfTrue="1" operator="equal">
      <formula>0</formula>
    </cfRule>
    <cfRule type="cellIs" dxfId="75" priority="23" stopIfTrue="1" operator="equal">
      <formula>0</formula>
    </cfRule>
    <cfRule type="cellIs" dxfId="74" priority="24" stopIfTrue="1" operator="equal">
      <formula>1</formula>
    </cfRule>
  </conditionalFormatting>
  <conditionalFormatting sqref="AB29:AC29">
    <cfRule type="cellIs" dxfId="73" priority="18" operator="equal">
      <formula>0</formula>
    </cfRule>
  </conditionalFormatting>
  <conditionalFormatting sqref="AB29:AC29">
    <cfRule type="cellIs" dxfId="72" priority="17" stopIfTrue="1" operator="equal">
      <formula>0</formula>
    </cfRule>
  </conditionalFormatting>
  <conditionalFormatting sqref="AB30:AC31">
    <cfRule type="cellIs" dxfId="71" priority="11" operator="between">
      <formula>1</formula>
      <formula>9</formula>
    </cfRule>
    <cfRule type="cellIs" dxfId="70" priority="12" stopIfTrue="1" operator="equal">
      <formula>0</formula>
    </cfRule>
    <cfRule type="cellIs" dxfId="69" priority="13" stopIfTrue="1" operator="equal">
      <formula>0</formula>
    </cfRule>
    <cfRule type="cellIs" dxfId="68" priority="14" stopIfTrue="1" operator="equal">
      <formula>0</formula>
    </cfRule>
    <cfRule type="cellIs" dxfId="67" priority="15" stopIfTrue="1" operator="equal">
      <formula>0</formula>
    </cfRule>
    <cfRule type="cellIs" dxfId="66" priority="16" stopIfTrue="1" operator="equal">
      <formula>1</formula>
    </cfRule>
  </conditionalFormatting>
  <conditionalFormatting sqref="AB30:AC31">
    <cfRule type="cellIs" dxfId="65" priority="10" operator="equal">
      <formula>0</formula>
    </cfRule>
  </conditionalFormatting>
  <conditionalFormatting sqref="AB30:AC31">
    <cfRule type="cellIs" dxfId="64" priority="9" stopIfTrue="1" operator="equal">
      <formula>0</formula>
    </cfRule>
  </conditionalFormatting>
  <conditionalFormatting sqref="C15:Z15">
    <cfRule type="cellIs" dxfId="63" priority="3" operator="between">
      <formula>1</formula>
      <formula>9</formula>
    </cfRule>
    <cfRule type="cellIs" dxfId="62" priority="4" stopIfTrue="1" operator="equal">
      <formula>0</formula>
    </cfRule>
    <cfRule type="cellIs" dxfId="61" priority="5" stopIfTrue="1" operator="equal">
      <formula>0</formula>
    </cfRule>
    <cfRule type="cellIs" dxfId="60" priority="6" stopIfTrue="1" operator="equal">
      <formula>0</formula>
    </cfRule>
    <cfRule type="cellIs" dxfId="59" priority="7" stopIfTrue="1" operator="equal">
      <formula>0</formula>
    </cfRule>
    <cfRule type="cellIs" dxfId="58" priority="8" stopIfTrue="1" operator="equal">
      <formula>1</formula>
    </cfRule>
  </conditionalFormatting>
  <conditionalFormatting sqref="C15:Z15">
    <cfRule type="cellIs" dxfId="57" priority="2" operator="equal">
      <formula>0</formula>
    </cfRule>
  </conditionalFormatting>
  <conditionalFormatting sqref="C15:Z15">
    <cfRule type="cellIs" dxfId="56" priority="1" stopIfTrue="1" operator="equal">
      <formula>0</formula>
    </cfRule>
  </conditionalFormatting>
  <dataValidations count="1">
    <dataValidation type="whole" operator="equal" allowBlank="1" showInputMessage="1" showErrorMessage="1" errorTitle="Numero incorrecto" error="No se admiten números diferentes a 1" sqref="C13:Z36">
      <formula1>1</formula1>
    </dataValidation>
  </dataValidations>
  <printOptions horizontalCentered="1"/>
  <pageMargins left="0.39370078740157483" right="0.39370078740157483" top="0.59055118110236227" bottom="0.59055118110236227" header="0" footer="0"/>
  <pageSetup scale="45" fitToHeight="2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4" tint="-0.249977111117893"/>
    <pageSetUpPr fitToPage="1"/>
  </sheetPr>
  <dimension ref="A1:AF65"/>
  <sheetViews>
    <sheetView showGridLines="0" tabSelected="1" topLeftCell="A9" zoomScale="115" zoomScaleNormal="115" zoomScaleSheetLayoutView="55" zoomScalePageLayoutView="60" workbookViewId="0">
      <selection activeCell="I24" sqref="I24:J24"/>
    </sheetView>
  </sheetViews>
  <sheetFormatPr baseColWidth="10" defaultRowHeight="15" x14ac:dyDescent="0.2"/>
  <cols>
    <col min="1" max="1" width="8.42578125" style="1" customWidth="1"/>
    <col min="2" max="2" width="49.5703125" style="1" customWidth="1"/>
    <col min="3" max="26" width="4.140625" style="1" customWidth="1"/>
    <col min="27" max="27" width="20.42578125" style="4" customWidth="1"/>
    <col min="28" max="28" width="5.7109375" style="4" customWidth="1"/>
    <col min="29" max="29" width="6.42578125" style="4" customWidth="1"/>
    <col min="30" max="30" width="30.28515625" style="1" customWidth="1"/>
    <col min="31" max="16384" width="11.42578125" style="1"/>
  </cols>
  <sheetData>
    <row r="1" spans="1:32" ht="44.25" customHeight="1" thickBot="1" x14ac:dyDescent="0.25">
      <c r="A1" s="107"/>
      <c r="B1" s="107"/>
      <c r="C1" s="38" t="s">
        <v>68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40" t="s">
        <v>69</v>
      </c>
      <c r="AC1" s="40"/>
      <c r="AD1" s="40"/>
    </row>
    <row r="2" spans="1:32" ht="44.25" customHeight="1" thickBot="1" x14ac:dyDescent="0.25">
      <c r="A2" s="107"/>
      <c r="B2" s="107"/>
      <c r="C2" s="39" t="s">
        <v>43</v>
      </c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40" t="s">
        <v>70</v>
      </c>
      <c r="AC2" s="40"/>
      <c r="AD2" s="40"/>
    </row>
    <row r="3" spans="1:32" ht="44.25" customHeight="1" thickBot="1" x14ac:dyDescent="0.25">
      <c r="A3" s="107"/>
      <c r="B3" s="107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40" t="s">
        <v>78</v>
      </c>
      <c r="AC3" s="40"/>
      <c r="AD3" s="40"/>
    </row>
    <row r="4" spans="1:32" ht="17.25" customHeight="1" thickBot="1" x14ac:dyDescent="0.25">
      <c r="A4" s="124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6"/>
      <c r="AF4" s="27"/>
    </row>
    <row r="5" spans="1:32" ht="21" customHeight="1" thickBot="1" x14ac:dyDescent="0.25">
      <c r="A5" s="93" t="s">
        <v>0</v>
      </c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5"/>
    </row>
    <row r="6" spans="1:32" ht="85.5" customHeight="1" thickBot="1" x14ac:dyDescent="0.25">
      <c r="A6" s="85" t="s">
        <v>62</v>
      </c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7"/>
    </row>
    <row r="7" spans="1:32" ht="24" customHeight="1" thickBot="1" x14ac:dyDescent="0.25">
      <c r="A7" s="93" t="s">
        <v>5</v>
      </c>
      <c r="B7" s="94"/>
      <c r="C7" s="94"/>
      <c r="D7" s="94"/>
      <c r="E7" s="94"/>
      <c r="F7" s="95"/>
      <c r="G7" s="93" t="s">
        <v>1</v>
      </c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5"/>
      <c r="Y7" s="93" t="s">
        <v>46</v>
      </c>
      <c r="Z7" s="94"/>
      <c r="AA7" s="94"/>
      <c r="AB7" s="94"/>
      <c r="AC7" s="94"/>
      <c r="AD7" s="95"/>
    </row>
    <row r="8" spans="1:32" ht="56.25" customHeight="1" thickBot="1" x14ac:dyDescent="0.25">
      <c r="A8" s="98" t="s">
        <v>38</v>
      </c>
      <c r="B8" s="99"/>
      <c r="C8" s="99"/>
      <c r="D8" s="99"/>
      <c r="E8" s="99"/>
      <c r="F8" s="100"/>
      <c r="G8" s="98" t="s">
        <v>6</v>
      </c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100"/>
      <c r="Y8" s="119" t="s">
        <v>79</v>
      </c>
      <c r="Z8" s="120"/>
      <c r="AA8" s="120"/>
      <c r="AB8" s="120"/>
      <c r="AC8" s="120"/>
      <c r="AD8" s="121"/>
    </row>
    <row r="9" spans="1:32" s="2" customFormat="1" ht="24" customHeight="1" thickBot="1" x14ac:dyDescent="0.25">
      <c r="A9" s="108"/>
      <c r="B9" s="109"/>
      <c r="C9" s="109"/>
      <c r="D9" s="109"/>
      <c r="E9" s="109"/>
      <c r="F9" s="109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1"/>
    </row>
    <row r="10" spans="1:32" ht="18" customHeight="1" x14ac:dyDescent="0.2">
      <c r="A10" s="112" t="s">
        <v>34</v>
      </c>
      <c r="B10" s="116" t="s">
        <v>35</v>
      </c>
      <c r="C10" s="90" t="s">
        <v>47</v>
      </c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 t="s">
        <v>7</v>
      </c>
      <c r="AB10" s="90" t="s">
        <v>29</v>
      </c>
      <c r="AC10" s="90"/>
      <c r="AD10" s="96" t="s">
        <v>8</v>
      </c>
    </row>
    <row r="11" spans="1:32" ht="37.5" customHeight="1" x14ac:dyDescent="0.2">
      <c r="A11" s="113"/>
      <c r="B11" s="117"/>
      <c r="C11" s="74" t="s">
        <v>16</v>
      </c>
      <c r="D11" s="75"/>
      <c r="E11" s="74" t="s">
        <v>17</v>
      </c>
      <c r="F11" s="75"/>
      <c r="G11" s="74" t="s">
        <v>18</v>
      </c>
      <c r="H11" s="75"/>
      <c r="I11" s="74" t="s">
        <v>19</v>
      </c>
      <c r="J11" s="75"/>
      <c r="K11" s="74" t="s">
        <v>20</v>
      </c>
      <c r="L11" s="75"/>
      <c r="M11" s="74" t="s">
        <v>21</v>
      </c>
      <c r="N11" s="75"/>
      <c r="O11" s="74" t="s">
        <v>11</v>
      </c>
      <c r="P11" s="75"/>
      <c r="Q11" s="74" t="s">
        <v>12</v>
      </c>
      <c r="R11" s="75"/>
      <c r="S11" s="74" t="s">
        <v>13</v>
      </c>
      <c r="T11" s="75"/>
      <c r="U11" s="74" t="s">
        <v>14</v>
      </c>
      <c r="V11" s="75"/>
      <c r="W11" s="74" t="s">
        <v>15</v>
      </c>
      <c r="X11" s="75"/>
      <c r="Y11" s="74" t="s">
        <v>22</v>
      </c>
      <c r="Z11" s="75"/>
      <c r="AA11" s="91"/>
      <c r="AB11" s="101" t="s">
        <v>33</v>
      </c>
      <c r="AC11" s="101" t="s">
        <v>30</v>
      </c>
      <c r="AD11" s="97"/>
    </row>
    <row r="12" spans="1:32" ht="30" customHeight="1" x14ac:dyDescent="0.2">
      <c r="A12" s="114"/>
      <c r="B12" s="118"/>
      <c r="C12" s="31" t="s">
        <v>2</v>
      </c>
      <c r="D12" s="32" t="s">
        <v>3</v>
      </c>
      <c r="E12" s="31" t="s">
        <v>2</v>
      </c>
      <c r="F12" s="32" t="s">
        <v>3</v>
      </c>
      <c r="G12" s="31" t="s">
        <v>2</v>
      </c>
      <c r="H12" s="32" t="s">
        <v>3</v>
      </c>
      <c r="I12" s="31" t="s">
        <v>2</v>
      </c>
      <c r="J12" s="32" t="s">
        <v>3</v>
      </c>
      <c r="K12" s="31" t="s">
        <v>2</v>
      </c>
      <c r="L12" s="32" t="s">
        <v>3</v>
      </c>
      <c r="M12" s="31" t="s">
        <v>2</v>
      </c>
      <c r="N12" s="32" t="s">
        <v>3</v>
      </c>
      <c r="O12" s="31" t="s">
        <v>2</v>
      </c>
      <c r="P12" s="32" t="s">
        <v>3</v>
      </c>
      <c r="Q12" s="31" t="s">
        <v>2</v>
      </c>
      <c r="R12" s="32" t="s">
        <v>3</v>
      </c>
      <c r="S12" s="31" t="s">
        <v>2</v>
      </c>
      <c r="T12" s="32" t="s">
        <v>3</v>
      </c>
      <c r="U12" s="31" t="s">
        <v>2</v>
      </c>
      <c r="V12" s="32" t="s">
        <v>3</v>
      </c>
      <c r="W12" s="31" t="s">
        <v>2</v>
      </c>
      <c r="X12" s="32" t="s">
        <v>3</v>
      </c>
      <c r="Y12" s="31" t="s">
        <v>2</v>
      </c>
      <c r="Z12" s="29" t="s">
        <v>3</v>
      </c>
      <c r="AA12" s="91"/>
      <c r="AB12" s="101"/>
      <c r="AC12" s="101"/>
      <c r="AD12" s="97"/>
    </row>
    <row r="13" spans="1:32" ht="38.25" customHeight="1" x14ac:dyDescent="0.2">
      <c r="A13" s="122" t="s">
        <v>32</v>
      </c>
      <c r="B13" s="18" t="s">
        <v>64</v>
      </c>
      <c r="C13" s="19">
        <v>1</v>
      </c>
      <c r="D13" s="19">
        <v>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6"/>
      <c r="AA13" s="17" t="s">
        <v>73</v>
      </c>
      <c r="AB13" s="5" t="s">
        <v>28</v>
      </c>
      <c r="AC13" s="5"/>
      <c r="AD13" s="6"/>
    </row>
    <row r="14" spans="1:32" s="36" customFormat="1" ht="38.25" customHeight="1" x14ac:dyDescent="0.2">
      <c r="A14" s="123"/>
      <c r="B14" s="18" t="s">
        <v>63</v>
      </c>
      <c r="C14" s="19"/>
      <c r="D14" s="19"/>
      <c r="E14" s="19"/>
      <c r="F14" s="19"/>
      <c r="G14" s="19">
        <v>1</v>
      </c>
      <c r="H14" s="19">
        <v>1</v>
      </c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34" t="s">
        <v>74</v>
      </c>
      <c r="AB14" s="5" t="s">
        <v>28</v>
      </c>
      <c r="AC14" s="5"/>
      <c r="AD14" s="35"/>
    </row>
    <row r="15" spans="1:32" ht="38.25" customHeight="1" x14ac:dyDescent="0.2">
      <c r="A15" s="123"/>
      <c r="B15" s="18" t="s">
        <v>39</v>
      </c>
      <c r="C15" s="19">
        <v>1</v>
      </c>
      <c r="D15" s="19">
        <v>1</v>
      </c>
      <c r="E15" s="19">
        <v>1</v>
      </c>
      <c r="F15" s="19">
        <v>1</v>
      </c>
      <c r="G15" s="19">
        <v>1</v>
      </c>
      <c r="H15" s="19">
        <v>1</v>
      </c>
      <c r="I15" s="19">
        <v>1</v>
      </c>
      <c r="J15" s="19">
        <v>1</v>
      </c>
      <c r="K15" s="19">
        <v>1</v>
      </c>
      <c r="L15" s="19">
        <v>1</v>
      </c>
      <c r="M15" s="19">
        <v>1</v>
      </c>
      <c r="N15" s="19">
        <v>1</v>
      </c>
      <c r="O15" s="19">
        <v>1</v>
      </c>
      <c r="P15" s="19">
        <v>1</v>
      </c>
      <c r="Q15" s="19">
        <v>1</v>
      </c>
      <c r="R15" s="19">
        <v>1</v>
      </c>
      <c r="S15" s="19">
        <v>1</v>
      </c>
      <c r="T15" s="19">
        <v>1</v>
      </c>
      <c r="U15" s="19">
        <v>1</v>
      </c>
      <c r="V15" s="19">
        <v>1</v>
      </c>
      <c r="W15" s="19">
        <v>1</v>
      </c>
      <c r="X15" s="19">
        <v>1</v>
      </c>
      <c r="Y15" s="19">
        <v>1</v>
      </c>
      <c r="Z15" s="19">
        <v>1</v>
      </c>
      <c r="AA15" s="20" t="s">
        <v>44</v>
      </c>
      <c r="AB15" s="5" t="s">
        <v>28</v>
      </c>
      <c r="AC15" s="5" t="s">
        <v>28</v>
      </c>
      <c r="AD15" s="7"/>
    </row>
    <row r="16" spans="1:32" ht="40.5" customHeight="1" x14ac:dyDescent="0.2">
      <c r="A16" s="123"/>
      <c r="B16" s="18" t="s">
        <v>80</v>
      </c>
      <c r="C16" s="19"/>
      <c r="D16" s="19"/>
      <c r="E16" s="19">
        <v>1</v>
      </c>
      <c r="F16" s="19">
        <v>1</v>
      </c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28" t="s">
        <v>37</v>
      </c>
      <c r="AB16" s="5" t="s">
        <v>28</v>
      </c>
      <c r="AC16" s="5"/>
      <c r="AD16" s="7"/>
    </row>
    <row r="17" spans="1:30" ht="54.75" customHeight="1" x14ac:dyDescent="0.2">
      <c r="A17" s="123"/>
      <c r="B17" s="18" t="s">
        <v>81</v>
      </c>
      <c r="C17" s="19"/>
      <c r="D17" s="19"/>
      <c r="E17" s="19"/>
      <c r="F17" s="19"/>
      <c r="G17" s="19"/>
      <c r="H17" s="19"/>
      <c r="I17" s="19">
        <v>1</v>
      </c>
      <c r="J17" s="19">
        <v>1</v>
      </c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20" t="s">
        <v>44</v>
      </c>
      <c r="AB17" s="5" t="s">
        <v>28</v>
      </c>
      <c r="AC17" s="5"/>
      <c r="AD17" s="6"/>
    </row>
    <row r="18" spans="1:30" ht="51" customHeight="1" x14ac:dyDescent="0.2">
      <c r="A18" s="123"/>
      <c r="B18" s="18" t="s">
        <v>97</v>
      </c>
      <c r="C18" s="19">
        <v>1</v>
      </c>
      <c r="D18" s="19">
        <v>1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20" t="s">
        <v>44</v>
      </c>
      <c r="AB18" s="5" t="s">
        <v>28</v>
      </c>
      <c r="AC18" s="5"/>
      <c r="AD18" s="6"/>
    </row>
    <row r="19" spans="1:30" ht="51" customHeight="1" x14ac:dyDescent="0.2">
      <c r="A19" s="123"/>
      <c r="B19" s="18" t="s">
        <v>82</v>
      </c>
      <c r="C19" s="19"/>
      <c r="D19" s="19"/>
      <c r="E19" s="19"/>
      <c r="F19" s="19"/>
      <c r="G19" s="19">
        <v>1</v>
      </c>
      <c r="H19" s="19">
        <v>1</v>
      </c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20" t="s">
        <v>44</v>
      </c>
      <c r="AB19" s="5" t="s">
        <v>28</v>
      </c>
      <c r="AC19" s="5"/>
      <c r="AD19" s="8"/>
    </row>
    <row r="20" spans="1:30" ht="48.75" customHeight="1" x14ac:dyDescent="0.2">
      <c r="A20" s="123"/>
      <c r="B20" s="18" t="s">
        <v>83</v>
      </c>
      <c r="C20" s="19"/>
      <c r="D20" s="19"/>
      <c r="E20" s="19">
        <v>1</v>
      </c>
      <c r="F20" s="19">
        <v>1</v>
      </c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20" t="s">
        <v>44</v>
      </c>
      <c r="AB20" s="5" t="s">
        <v>28</v>
      </c>
      <c r="AC20" s="5"/>
      <c r="AD20" s="7"/>
    </row>
    <row r="21" spans="1:30" ht="62.25" customHeight="1" x14ac:dyDescent="0.2">
      <c r="A21" s="123"/>
      <c r="B21" s="18" t="s">
        <v>84</v>
      </c>
      <c r="C21" s="19">
        <v>1</v>
      </c>
      <c r="D21" s="19">
        <v>1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20" t="s">
        <v>44</v>
      </c>
      <c r="AB21" s="5" t="s">
        <v>28</v>
      </c>
      <c r="AC21" s="5"/>
      <c r="AD21" s="7"/>
    </row>
    <row r="22" spans="1:30" ht="57.75" customHeight="1" x14ac:dyDescent="0.2">
      <c r="A22" s="123"/>
      <c r="B22" s="18" t="s">
        <v>85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>
        <v>1</v>
      </c>
      <c r="T22" s="19">
        <v>1</v>
      </c>
      <c r="U22" s="19"/>
      <c r="V22" s="19"/>
      <c r="W22" s="19"/>
      <c r="X22" s="19"/>
      <c r="Y22" s="19"/>
      <c r="Z22" s="19"/>
      <c r="AA22" s="20" t="s">
        <v>73</v>
      </c>
      <c r="AB22" s="5" t="s">
        <v>28</v>
      </c>
      <c r="AC22" s="5"/>
      <c r="AD22" s="6"/>
    </row>
    <row r="23" spans="1:30" ht="45" customHeight="1" x14ac:dyDescent="0.2">
      <c r="A23" s="123"/>
      <c r="B23" s="18" t="s">
        <v>86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>
        <v>1</v>
      </c>
      <c r="Z23" s="19">
        <v>1</v>
      </c>
      <c r="AA23" s="20" t="s">
        <v>105</v>
      </c>
      <c r="AB23" s="5" t="s">
        <v>28</v>
      </c>
      <c r="AC23" s="5"/>
      <c r="AD23" s="7"/>
    </row>
    <row r="24" spans="1:30" ht="72.75" customHeight="1" x14ac:dyDescent="0.2">
      <c r="A24" s="123"/>
      <c r="B24" s="18" t="s">
        <v>87</v>
      </c>
      <c r="C24" s="19"/>
      <c r="D24" s="19"/>
      <c r="E24" s="19"/>
      <c r="F24" s="19"/>
      <c r="G24" s="19"/>
      <c r="H24" s="19"/>
      <c r="I24" s="19">
        <v>1</v>
      </c>
      <c r="J24" s="19">
        <v>1</v>
      </c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20" t="s">
        <v>76</v>
      </c>
      <c r="AB24" s="5" t="s">
        <v>28</v>
      </c>
      <c r="AC24" s="5"/>
      <c r="AD24" s="7"/>
    </row>
    <row r="25" spans="1:30" ht="45" customHeight="1" x14ac:dyDescent="0.2">
      <c r="A25" s="123"/>
      <c r="B25" s="18" t="s">
        <v>88</v>
      </c>
      <c r="C25" s="19"/>
      <c r="D25" s="19"/>
      <c r="E25" s="19"/>
      <c r="F25" s="19"/>
      <c r="G25" s="19"/>
      <c r="H25" s="19"/>
      <c r="I25" s="19">
        <v>1</v>
      </c>
      <c r="J25" s="19">
        <v>1</v>
      </c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20" t="s">
        <v>73</v>
      </c>
      <c r="AB25" s="5" t="s">
        <v>28</v>
      </c>
      <c r="AC25" s="5"/>
      <c r="AD25" s="7"/>
    </row>
    <row r="26" spans="1:30" ht="74.25" customHeight="1" x14ac:dyDescent="0.2">
      <c r="A26" s="123"/>
      <c r="B26" s="18" t="s">
        <v>89</v>
      </c>
      <c r="C26" s="19"/>
      <c r="D26" s="19"/>
      <c r="E26" s="19"/>
      <c r="F26" s="19"/>
      <c r="G26" s="19"/>
      <c r="H26" s="19"/>
      <c r="I26" s="19"/>
      <c r="J26" s="19"/>
      <c r="K26" s="19">
        <v>1</v>
      </c>
      <c r="L26" s="19">
        <v>1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20" t="s">
        <v>73</v>
      </c>
      <c r="AB26" s="5" t="s">
        <v>28</v>
      </c>
      <c r="AC26" s="5"/>
      <c r="AD26" s="7"/>
    </row>
    <row r="27" spans="1:30" ht="60" customHeight="1" x14ac:dyDescent="0.2">
      <c r="A27" s="123"/>
      <c r="B27" s="18" t="s">
        <v>90</v>
      </c>
      <c r="C27" s="19"/>
      <c r="D27" s="19"/>
      <c r="E27" s="19"/>
      <c r="F27" s="19"/>
      <c r="G27" s="19"/>
      <c r="H27" s="19"/>
      <c r="I27" s="19"/>
      <c r="J27" s="19"/>
      <c r="K27" s="19">
        <v>1</v>
      </c>
      <c r="L27" s="19">
        <v>1</v>
      </c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20" t="s">
        <v>73</v>
      </c>
      <c r="AB27" s="5" t="s">
        <v>28</v>
      </c>
      <c r="AC27" s="5"/>
      <c r="AD27" s="7"/>
    </row>
    <row r="28" spans="1:30" ht="60" customHeight="1" x14ac:dyDescent="0.2">
      <c r="A28" s="123"/>
      <c r="B28" s="18" t="s">
        <v>102</v>
      </c>
      <c r="C28" s="19"/>
      <c r="D28" s="19"/>
      <c r="E28" s="19"/>
      <c r="F28" s="19"/>
      <c r="G28" s="19"/>
      <c r="H28" s="19"/>
      <c r="I28" s="19">
        <v>1</v>
      </c>
      <c r="J28" s="19">
        <v>1</v>
      </c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20" t="s">
        <v>73</v>
      </c>
      <c r="AB28" s="5" t="s">
        <v>28</v>
      </c>
      <c r="AC28" s="5"/>
      <c r="AD28" s="7"/>
    </row>
    <row r="29" spans="1:30" ht="68.25" customHeight="1" x14ac:dyDescent="0.2">
      <c r="A29" s="115" t="s">
        <v>26</v>
      </c>
      <c r="B29" s="18" t="s">
        <v>99</v>
      </c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>
        <v>1</v>
      </c>
      <c r="N29" s="19">
        <v>1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20" t="s">
        <v>77</v>
      </c>
      <c r="AB29" s="5" t="s">
        <v>28</v>
      </c>
      <c r="AC29" s="5" t="s">
        <v>28</v>
      </c>
      <c r="AD29" s="7"/>
    </row>
    <row r="30" spans="1:30" ht="68.25" customHeight="1" x14ac:dyDescent="0.2">
      <c r="A30" s="115"/>
      <c r="B30" s="18" t="s">
        <v>72</v>
      </c>
      <c r="C30" s="19">
        <v>1</v>
      </c>
      <c r="D30" s="19">
        <v>1</v>
      </c>
      <c r="E30" s="19">
        <v>1</v>
      </c>
      <c r="F30" s="19">
        <v>1</v>
      </c>
      <c r="G30" s="19">
        <v>1</v>
      </c>
      <c r="H30" s="19">
        <v>1</v>
      </c>
      <c r="I30" s="19">
        <v>1</v>
      </c>
      <c r="J30" s="19">
        <v>1</v>
      </c>
      <c r="K30" s="19">
        <v>1</v>
      </c>
      <c r="L30" s="19">
        <v>1</v>
      </c>
      <c r="M30" s="19">
        <v>1</v>
      </c>
      <c r="N30" s="19">
        <v>1</v>
      </c>
      <c r="O30" s="19">
        <v>1</v>
      </c>
      <c r="P30" s="19">
        <v>1</v>
      </c>
      <c r="Q30" s="19">
        <v>1</v>
      </c>
      <c r="R30" s="19">
        <v>1</v>
      </c>
      <c r="S30" s="19">
        <v>1</v>
      </c>
      <c r="T30" s="19">
        <v>1</v>
      </c>
      <c r="U30" s="19">
        <v>1</v>
      </c>
      <c r="V30" s="19">
        <v>1</v>
      </c>
      <c r="W30" s="19">
        <v>1</v>
      </c>
      <c r="X30" s="19">
        <v>1</v>
      </c>
      <c r="Y30" s="19">
        <v>1</v>
      </c>
      <c r="Z30" s="19">
        <v>1</v>
      </c>
      <c r="AA30" s="20" t="s">
        <v>73</v>
      </c>
      <c r="AB30" s="5" t="s">
        <v>28</v>
      </c>
      <c r="AC30" s="5"/>
      <c r="AD30" s="6"/>
    </row>
    <row r="31" spans="1:30" ht="68.25" customHeight="1" x14ac:dyDescent="0.2">
      <c r="A31" s="115"/>
      <c r="B31" s="18" t="s">
        <v>66</v>
      </c>
      <c r="C31" s="19"/>
      <c r="D31" s="19"/>
      <c r="E31" s="19">
        <v>1</v>
      </c>
      <c r="F31" s="19">
        <v>1</v>
      </c>
      <c r="G31" s="19"/>
      <c r="H31" s="19"/>
      <c r="I31" s="19"/>
      <c r="J31" s="19"/>
      <c r="K31" s="19">
        <v>1</v>
      </c>
      <c r="L31" s="19">
        <v>1</v>
      </c>
      <c r="M31" s="19"/>
      <c r="N31" s="19"/>
      <c r="O31" s="19"/>
      <c r="P31" s="19"/>
      <c r="Q31" s="19">
        <v>1</v>
      </c>
      <c r="R31" s="19">
        <v>1</v>
      </c>
      <c r="S31" s="19"/>
      <c r="T31" s="19"/>
      <c r="U31" s="19"/>
      <c r="V31" s="19"/>
      <c r="W31" s="19">
        <v>1</v>
      </c>
      <c r="X31" s="19">
        <v>1</v>
      </c>
      <c r="Y31" s="19"/>
      <c r="Z31" s="19"/>
      <c r="AA31" s="20" t="s">
        <v>67</v>
      </c>
      <c r="AB31" s="5" t="s">
        <v>28</v>
      </c>
      <c r="AC31" s="5"/>
      <c r="AD31" s="6"/>
    </row>
    <row r="32" spans="1:30" ht="68.25" customHeight="1" x14ac:dyDescent="0.2">
      <c r="A32" s="115"/>
      <c r="B32" s="18" t="s">
        <v>91</v>
      </c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>
        <v>1</v>
      </c>
      <c r="N32" s="19">
        <v>1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20" t="s">
        <v>75</v>
      </c>
      <c r="AB32" s="5" t="s">
        <v>71</v>
      </c>
      <c r="AC32" s="5"/>
      <c r="AD32" s="6"/>
    </row>
    <row r="33" spans="1:30" ht="68.25" customHeight="1" x14ac:dyDescent="0.2">
      <c r="A33" s="115"/>
      <c r="B33" s="18" t="s">
        <v>92</v>
      </c>
      <c r="C33" s="19"/>
      <c r="D33" s="19"/>
      <c r="E33" s="19"/>
      <c r="F33" s="19"/>
      <c r="G33" s="19"/>
      <c r="H33" s="19"/>
      <c r="I33" s="19">
        <v>1</v>
      </c>
      <c r="J33" s="19">
        <v>1</v>
      </c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20" t="s">
        <v>36</v>
      </c>
      <c r="AB33" s="5"/>
      <c r="AC33" s="5" t="s">
        <v>28</v>
      </c>
      <c r="AD33" s="6"/>
    </row>
    <row r="34" spans="1:30" ht="68.25" customHeight="1" x14ac:dyDescent="0.2">
      <c r="A34" s="37"/>
      <c r="B34" s="18" t="s">
        <v>103</v>
      </c>
      <c r="C34" s="19"/>
      <c r="D34" s="19"/>
      <c r="E34" s="19"/>
      <c r="F34" s="19"/>
      <c r="G34" s="19"/>
      <c r="H34" s="19"/>
      <c r="I34" s="19">
        <v>1</v>
      </c>
      <c r="J34" s="19">
        <v>1</v>
      </c>
      <c r="K34" s="19">
        <v>1</v>
      </c>
      <c r="L34" s="19">
        <v>1</v>
      </c>
      <c r="M34" s="19">
        <v>1</v>
      </c>
      <c r="N34" s="19">
        <v>1</v>
      </c>
      <c r="O34" s="19">
        <v>1</v>
      </c>
      <c r="P34" s="19">
        <v>1</v>
      </c>
      <c r="Q34" s="19">
        <v>1</v>
      </c>
      <c r="R34" s="19">
        <v>1</v>
      </c>
      <c r="S34" s="19">
        <v>1</v>
      </c>
      <c r="T34" s="19">
        <v>1</v>
      </c>
      <c r="U34" s="19">
        <v>1</v>
      </c>
      <c r="V34" s="19">
        <v>1</v>
      </c>
      <c r="W34" s="19">
        <v>1</v>
      </c>
      <c r="X34" s="19">
        <v>1</v>
      </c>
      <c r="Y34" s="19">
        <v>1</v>
      </c>
      <c r="Z34" s="19">
        <v>1</v>
      </c>
      <c r="AA34" s="20" t="s">
        <v>104</v>
      </c>
      <c r="AB34" s="5" t="s">
        <v>28</v>
      </c>
      <c r="AC34" s="5" t="s">
        <v>28</v>
      </c>
      <c r="AD34" s="6"/>
    </row>
    <row r="35" spans="1:30" ht="81.75" customHeight="1" x14ac:dyDescent="0.2">
      <c r="A35" s="102" t="s">
        <v>27</v>
      </c>
      <c r="B35" s="18" t="s">
        <v>93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>
        <v>1</v>
      </c>
      <c r="P35" s="19">
        <v>1</v>
      </c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20" t="s">
        <v>36</v>
      </c>
      <c r="AB35" s="5" t="s">
        <v>28</v>
      </c>
      <c r="AC35" s="5" t="s">
        <v>28</v>
      </c>
      <c r="AD35" s="6" t="s">
        <v>100</v>
      </c>
    </row>
    <row r="36" spans="1:30" ht="52.5" customHeight="1" x14ac:dyDescent="0.2">
      <c r="A36" s="102"/>
      <c r="B36" s="18" t="s">
        <v>94</v>
      </c>
      <c r="C36" s="19">
        <v>1</v>
      </c>
      <c r="D36" s="19">
        <v>1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20" t="s">
        <v>37</v>
      </c>
      <c r="AB36" s="5" t="s">
        <v>28</v>
      </c>
      <c r="AC36" s="5"/>
      <c r="AD36" s="7"/>
    </row>
    <row r="37" spans="1:30" ht="77.25" customHeight="1" x14ac:dyDescent="0.2">
      <c r="A37" s="92" t="s">
        <v>31</v>
      </c>
      <c r="B37" s="18" t="s">
        <v>95</v>
      </c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>
        <v>1</v>
      </c>
      <c r="X37" s="19">
        <v>1</v>
      </c>
      <c r="Y37" s="19"/>
      <c r="Z37" s="19"/>
      <c r="AA37" s="20" t="s">
        <v>77</v>
      </c>
      <c r="AB37" s="5" t="s">
        <v>28</v>
      </c>
      <c r="AC37" s="5"/>
      <c r="AD37" s="6" t="s">
        <v>101</v>
      </c>
    </row>
    <row r="38" spans="1:30" ht="52.5" customHeight="1" x14ac:dyDescent="0.2">
      <c r="A38" s="92"/>
      <c r="B38" s="18" t="s">
        <v>96</v>
      </c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>
        <v>1</v>
      </c>
      <c r="Z38" s="19"/>
      <c r="AA38" s="20" t="s">
        <v>73</v>
      </c>
      <c r="AB38" s="5" t="s">
        <v>28</v>
      </c>
      <c r="AC38" s="5"/>
      <c r="AD38" s="7"/>
    </row>
    <row r="39" spans="1:30" ht="75" customHeight="1" x14ac:dyDescent="0.2">
      <c r="A39" s="88" t="s">
        <v>9</v>
      </c>
      <c r="B39" s="89"/>
      <c r="C39" s="21">
        <f t="shared" ref="C39:Z39" si="0">SUM(C13:C38)</f>
        <v>6</v>
      </c>
      <c r="D39" s="21">
        <f t="shared" si="0"/>
        <v>6</v>
      </c>
      <c r="E39" s="21">
        <f t="shared" si="0"/>
        <v>5</v>
      </c>
      <c r="F39" s="21">
        <f t="shared" si="0"/>
        <v>5</v>
      </c>
      <c r="G39" s="21">
        <f t="shared" si="0"/>
        <v>4</v>
      </c>
      <c r="H39" s="21">
        <f t="shared" si="0"/>
        <v>4</v>
      </c>
      <c r="I39" s="21">
        <f t="shared" si="0"/>
        <v>8</v>
      </c>
      <c r="J39" s="21">
        <f t="shared" si="0"/>
        <v>8</v>
      </c>
      <c r="K39" s="21">
        <f t="shared" si="0"/>
        <v>6</v>
      </c>
      <c r="L39" s="21">
        <f t="shared" si="0"/>
        <v>6</v>
      </c>
      <c r="M39" s="21">
        <f t="shared" si="0"/>
        <v>5</v>
      </c>
      <c r="N39" s="21">
        <f t="shared" si="0"/>
        <v>5</v>
      </c>
      <c r="O39" s="21">
        <f t="shared" si="0"/>
        <v>4</v>
      </c>
      <c r="P39" s="21">
        <f t="shared" si="0"/>
        <v>4</v>
      </c>
      <c r="Q39" s="21">
        <f t="shared" si="0"/>
        <v>4</v>
      </c>
      <c r="R39" s="21">
        <f t="shared" si="0"/>
        <v>4</v>
      </c>
      <c r="S39" s="21">
        <f t="shared" si="0"/>
        <v>4</v>
      </c>
      <c r="T39" s="21">
        <f t="shared" si="0"/>
        <v>4</v>
      </c>
      <c r="U39" s="21">
        <f t="shared" si="0"/>
        <v>3</v>
      </c>
      <c r="V39" s="21">
        <f t="shared" si="0"/>
        <v>3</v>
      </c>
      <c r="W39" s="21">
        <f t="shared" si="0"/>
        <v>5</v>
      </c>
      <c r="X39" s="21">
        <f t="shared" si="0"/>
        <v>5</v>
      </c>
      <c r="Y39" s="22">
        <f t="shared" si="0"/>
        <v>5</v>
      </c>
      <c r="Z39" s="21">
        <f t="shared" si="0"/>
        <v>4</v>
      </c>
      <c r="AA39" s="23"/>
      <c r="AB39" s="5"/>
      <c r="AC39" s="5"/>
      <c r="AD39" s="9"/>
    </row>
    <row r="40" spans="1:30" ht="15" customHeight="1" x14ac:dyDescent="0.2">
      <c r="A40" s="76" t="s">
        <v>98</v>
      </c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8"/>
    </row>
    <row r="41" spans="1:30" s="3" customFormat="1" ht="8.25" customHeight="1" thickBot="1" x14ac:dyDescent="0.25">
      <c r="A41" s="103"/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5"/>
      <c r="AB41" s="105"/>
      <c r="AC41" s="105"/>
      <c r="AD41" s="106"/>
    </row>
    <row r="42" spans="1:30" ht="24" customHeight="1" x14ac:dyDescent="0.2">
      <c r="A42" s="70" t="s">
        <v>61</v>
      </c>
      <c r="B42" s="71"/>
      <c r="C42" s="54" t="s">
        <v>48</v>
      </c>
      <c r="D42" s="55"/>
      <c r="E42" s="54" t="s">
        <v>49</v>
      </c>
      <c r="F42" s="55"/>
      <c r="G42" s="54" t="s">
        <v>50</v>
      </c>
      <c r="H42" s="55"/>
      <c r="I42" s="54" t="s">
        <v>51</v>
      </c>
      <c r="J42" s="55"/>
      <c r="K42" s="54" t="s">
        <v>52</v>
      </c>
      <c r="L42" s="55"/>
      <c r="M42" s="54" t="s">
        <v>53</v>
      </c>
      <c r="N42" s="55"/>
      <c r="O42" s="54" t="s">
        <v>54</v>
      </c>
      <c r="P42" s="55"/>
      <c r="Q42" s="54" t="s">
        <v>55</v>
      </c>
      <c r="R42" s="55"/>
      <c r="S42" s="54" t="s">
        <v>56</v>
      </c>
      <c r="T42" s="55"/>
      <c r="U42" s="54" t="s">
        <v>57</v>
      </c>
      <c r="V42" s="55"/>
      <c r="W42" s="54" t="s">
        <v>58</v>
      </c>
      <c r="X42" s="55"/>
      <c r="Y42" s="54" t="s">
        <v>59</v>
      </c>
      <c r="Z42" s="81"/>
      <c r="AA42" s="82" t="s">
        <v>4</v>
      </c>
      <c r="AB42" s="83"/>
      <c r="AC42" s="83"/>
      <c r="AD42" s="84"/>
    </row>
    <row r="43" spans="1:30" ht="23.1" customHeight="1" thickBot="1" x14ac:dyDescent="0.25">
      <c r="A43" s="68" t="s">
        <v>10</v>
      </c>
      <c r="B43" s="69"/>
      <c r="C43" s="11">
        <f>SUM(C39)</f>
        <v>6</v>
      </c>
      <c r="D43" s="11">
        <f t="shared" ref="D43:Z43" si="1">D39</f>
        <v>6</v>
      </c>
      <c r="E43" s="11">
        <f t="shared" si="1"/>
        <v>5</v>
      </c>
      <c r="F43" s="11">
        <f t="shared" si="1"/>
        <v>5</v>
      </c>
      <c r="G43" s="11">
        <f t="shared" si="1"/>
        <v>4</v>
      </c>
      <c r="H43" s="11">
        <f t="shared" si="1"/>
        <v>4</v>
      </c>
      <c r="I43" s="11">
        <f t="shared" si="1"/>
        <v>8</v>
      </c>
      <c r="J43" s="11">
        <f t="shared" si="1"/>
        <v>8</v>
      </c>
      <c r="K43" s="11">
        <f t="shared" si="1"/>
        <v>6</v>
      </c>
      <c r="L43" s="11">
        <f t="shared" si="1"/>
        <v>6</v>
      </c>
      <c r="M43" s="11">
        <f t="shared" si="1"/>
        <v>5</v>
      </c>
      <c r="N43" s="11">
        <f t="shared" si="1"/>
        <v>5</v>
      </c>
      <c r="O43" s="11">
        <f t="shared" si="1"/>
        <v>4</v>
      </c>
      <c r="P43" s="11">
        <f t="shared" si="1"/>
        <v>4</v>
      </c>
      <c r="Q43" s="11">
        <f t="shared" si="1"/>
        <v>4</v>
      </c>
      <c r="R43" s="11">
        <f t="shared" si="1"/>
        <v>4</v>
      </c>
      <c r="S43" s="11">
        <f t="shared" si="1"/>
        <v>4</v>
      </c>
      <c r="T43" s="11">
        <f t="shared" si="1"/>
        <v>4</v>
      </c>
      <c r="U43" s="11">
        <f t="shared" si="1"/>
        <v>3</v>
      </c>
      <c r="V43" s="11">
        <f t="shared" si="1"/>
        <v>3</v>
      </c>
      <c r="W43" s="11">
        <f t="shared" si="1"/>
        <v>5</v>
      </c>
      <c r="X43" s="11">
        <f t="shared" si="1"/>
        <v>5</v>
      </c>
      <c r="Y43" s="11">
        <f t="shared" si="1"/>
        <v>5</v>
      </c>
      <c r="Z43" s="12">
        <f t="shared" si="1"/>
        <v>4</v>
      </c>
      <c r="AA43" s="56">
        <f>C43+E43+G43+I43+K43+M43+O43+Q43+S43+U43+W43+Y43</f>
        <v>59</v>
      </c>
      <c r="AB43" s="79">
        <f>D43+F43+H43+J43+L43+N43+P43+R43+T43+V43+X43+Z43</f>
        <v>58</v>
      </c>
      <c r="AC43" s="79"/>
      <c r="AD43" s="24">
        <f>AB43/AA43</f>
        <v>0.98305084745762716</v>
      </c>
    </row>
    <row r="44" spans="1:30" ht="18" customHeight="1" x14ac:dyDescent="0.2">
      <c r="A44" s="68" t="s">
        <v>60</v>
      </c>
      <c r="B44" s="69"/>
      <c r="C44" s="52">
        <f>D43/C43</f>
        <v>1</v>
      </c>
      <c r="D44" s="67"/>
      <c r="E44" s="52">
        <f>F43/E43</f>
        <v>1</v>
      </c>
      <c r="F44" s="67"/>
      <c r="G44" s="52">
        <f>H43/G43</f>
        <v>1</v>
      </c>
      <c r="H44" s="67"/>
      <c r="I44" s="52">
        <f>J43/I43</f>
        <v>1</v>
      </c>
      <c r="J44" s="67"/>
      <c r="K44" s="52">
        <f>L43/K43</f>
        <v>1</v>
      </c>
      <c r="L44" s="67"/>
      <c r="M44" s="52">
        <f>N43/M43</f>
        <v>1</v>
      </c>
      <c r="N44" s="67"/>
      <c r="O44" s="52">
        <f>P43/O43</f>
        <v>1</v>
      </c>
      <c r="P44" s="67"/>
      <c r="Q44" s="52">
        <f>R43/Q43</f>
        <v>1</v>
      </c>
      <c r="R44" s="67"/>
      <c r="S44" s="52">
        <f>T43/S43</f>
        <v>1</v>
      </c>
      <c r="T44" s="67"/>
      <c r="U44" s="52">
        <f>V43/U43</f>
        <v>1</v>
      </c>
      <c r="V44" s="67"/>
      <c r="W44" s="52">
        <f>X43/W43</f>
        <v>1</v>
      </c>
      <c r="X44" s="67"/>
      <c r="Y44" s="52">
        <f>Z43/Y43</f>
        <v>0.8</v>
      </c>
      <c r="Z44" s="53"/>
      <c r="AA44" s="56"/>
      <c r="AB44" s="79"/>
      <c r="AC44" s="80"/>
      <c r="AD44" s="25" t="s">
        <v>5</v>
      </c>
    </row>
    <row r="45" spans="1:30" ht="23.25" customHeight="1" thickBot="1" x14ac:dyDescent="0.25">
      <c r="A45" s="65" t="s">
        <v>23</v>
      </c>
      <c r="B45" s="66"/>
      <c r="C45" s="49">
        <v>0.9</v>
      </c>
      <c r="D45" s="51"/>
      <c r="E45" s="49">
        <v>0.9</v>
      </c>
      <c r="F45" s="51"/>
      <c r="G45" s="49">
        <v>0.9</v>
      </c>
      <c r="H45" s="51"/>
      <c r="I45" s="49">
        <v>0.9</v>
      </c>
      <c r="J45" s="51"/>
      <c r="K45" s="49">
        <v>0.9</v>
      </c>
      <c r="L45" s="51"/>
      <c r="M45" s="49">
        <v>0.9</v>
      </c>
      <c r="N45" s="51"/>
      <c r="O45" s="49">
        <v>0.9</v>
      </c>
      <c r="P45" s="51"/>
      <c r="Q45" s="49">
        <v>0.9</v>
      </c>
      <c r="R45" s="51"/>
      <c r="S45" s="49">
        <v>0.9</v>
      </c>
      <c r="T45" s="51"/>
      <c r="U45" s="49">
        <v>0.9</v>
      </c>
      <c r="V45" s="51"/>
      <c r="W45" s="49">
        <v>0.9</v>
      </c>
      <c r="X45" s="51"/>
      <c r="Y45" s="49">
        <v>0.9</v>
      </c>
      <c r="Z45" s="50"/>
      <c r="AA45" s="13" t="s">
        <v>24</v>
      </c>
      <c r="AB45" s="72" t="s">
        <v>25</v>
      </c>
      <c r="AC45" s="73"/>
      <c r="AD45" s="26">
        <v>0.9</v>
      </c>
    </row>
    <row r="46" spans="1:30" x14ac:dyDescent="0.2">
      <c r="A46" s="57"/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9"/>
      <c r="AB46" s="59"/>
      <c r="AC46" s="59"/>
      <c r="AD46" s="60"/>
    </row>
    <row r="47" spans="1:30" x14ac:dyDescent="0.2">
      <c r="A47" s="61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60"/>
    </row>
    <row r="48" spans="1:30" x14ac:dyDescent="0.2">
      <c r="A48" s="61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60"/>
    </row>
    <row r="49" spans="1:30" x14ac:dyDescent="0.2">
      <c r="A49" s="61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60"/>
    </row>
    <row r="50" spans="1:30" x14ac:dyDescent="0.2">
      <c r="A50" s="61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60"/>
    </row>
    <row r="51" spans="1:30" x14ac:dyDescent="0.2">
      <c r="A51" s="61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60"/>
    </row>
    <row r="52" spans="1:30" x14ac:dyDescent="0.2">
      <c r="A52" s="61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60"/>
    </row>
    <row r="53" spans="1:30" x14ac:dyDescent="0.2">
      <c r="A53" s="61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60"/>
    </row>
    <row r="54" spans="1:30" x14ac:dyDescent="0.2">
      <c r="A54" s="61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60"/>
    </row>
    <row r="55" spans="1:30" x14ac:dyDescent="0.2">
      <c r="A55" s="61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60"/>
    </row>
    <row r="56" spans="1:30" x14ac:dyDescent="0.2">
      <c r="A56" s="61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60"/>
    </row>
    <row r="57" spans="1:30" x14ac:dyDescent="0.2">
      <c r="A57" s="61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60"/>
    </row>
    <row r="58" spans="1:30" x14ac:dyDescent="0.2">
      <c r="A58" s="61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60"/>
    </row>
    <row r="59" spans="1:30" x14ac:dyDescent="0.2">
      <c r="A59" s="61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60"/>
    </row>
    <row r="60" spans="1:30" x14ac:dyDescent="0.2">
      <c r="A60" s="61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60"/>
    </row>
    <row r="61" spans="1:30" x14ac:dyDescent="0.2">
      <c r="A61" s="61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60"/>
    </row>
    <row r="62" spans="1:30" x14ac:dyDescent="0.2">
      <c r="A62" s="61"/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60"/>
    </row>
    <row r="63" spans="1:30" ht="11.25" customHeight="1" thickBot="1" x14ac:dyDescent="0.25">
      <c r="A63" s="62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4"/>
    </row>
    <row r="64" spans="1:30" s="15" customFormat="1" ht="26.25" customHeight="1" x14ac:dyDescent="0.2">
      <c r="A64" s="48" t="s">
        <v>65</v>
      </c>
      <c r="B64" s="43"/>
      <c r="C64" s="43" t="s">
        <v>40</v>
      </c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 t="s">
        <v>41</v>
      </c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 t="s">
        <v>42</v>
      </c>
      <c r="AB64" s="43"/>
      <c r="AC64" s="43"/>
      <c r="AD64" s="44"/>
    </row>
    <row r="65" spans="1:30" s="14" customFormat="1" ht="121.5" customHeight="1" thickBot="1" x14ac:dyDescent="0.3">
      <c r="A65" s="41"/>
      <c r="B65" s="42"/>
      <c r="C65" s="45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5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5"/>
      <c r="AB65" s="46"/>
      <c r="AC65" s="46"/>
      <c r="AD65" s="47"/>
    </row>
  </sheetData>
  <mergeCells count="96">
    <mergeCell ref="A64:B64"/>
    <mergeCell ref="C64:N64"/>
    <mergeCell ref="O64:Z64"/>
    <mergeCell ref="AA64:AD64"/>
    <mergeCell ref="A65:B65"/>
    <mergeCell ref="C65:N65"/>
    <mergeCell ref="O65:Z65"/>
    <mergeCell ref="AA65:AD65"/>
    <mergeCell ref="S45:T45"/>
    <mergeCell ref="U45:V45"/>
    <mergeCell ref="W45:X45"/>
    <mergeCell ref="Y45:Z45"/>
    <mergeCell ref="AB45:AC45"/>
    <mergeCell ref="A46:AD63"/>
    <mergeCell ref="Y44:Z44"/>
    <mergeCell ref="A45:B45"/>
    <mergeCell ref="C45:D45"/>
    <mergeCell ref="E45:F45"/>
    <mergeCell ref="G45:H45"/>
    <mergeCell ref="I45:J45"/>
    <mergeCell ref="K45:L45"/>
    <mergeCell ref="M45:N45"/>
    <mergeCell ref="O45:P45"/>
    <mergeCell ref="Q45:R45"/>
    <mergeCell ref="M44:N44"/>
    <mergeCell ref="O44:P44"/>
    <mergeCell ref="Q44:R44"/>
    <mergeCell ref="S44:T44"/>
    <mergeCell ref="U44:V44"/>
    <mergeCell ref="W44:X44"/>
    <mergeCell ref="AA42:AD42"/>
    <mergeCell ref="A43:B43"/>
    <mergeCell ref="AA43:AA44"/>
    <mergeCell ref="AB43:AC44"/>
    <mergeCell ref="A44:B44"/>
    <mergeCell ref="C44:D44"/>
    <mergeCell ref="E44:F44"/>
    <mergeCell ref="G44:H44"/>
    <mergeCell ref="I44:J44"/>
    <mergeCell ref="K44:L44"/>
    <mergeCell ref="O42:P42"/>
    <mergeCell ref="Q42:R42"/>
    <mergeCell ref="S42:T42"/>
    <mergeCell ref="U42:V42"/>
    <mergeCell ref="W42:X42"/>
    <mergeCell ref="Y42:Z42"/>
    <mergeCell ref="A39:B39"/>
    <mergeCell ref="A40:AD40"/>
    <mergeCell ref="A41:AD41"/>
    <mergeCell ref="A42:B42"/>
    <mergeCell ref="C42:D42"/>
    <mergeCell ref="E42:F42"/>
    <mergeCell ref="G42:H42"/>
    <mergeCell ref="I42:J42"/>
    <mergeCell ref="K42:L42"/>
    <mergeCell ref="M42:N42"/>
    <mergeCell ref="A37:A38"/>
    <mergeCell ref="O11:P11"/>
    <mergeCell ref="Q11:R11"/>
    <mergeCell ref="S11:T11"/>
    <mergeCell ref="U11:V11"/>
    <mergeCell ref="C11:D11"/>
    <mergeCell ref="E11:F11"/>
    <mergeCell ref="G11:H11"/>
    <mergeCell ref="I11:J11"/>
    <mergeCell ref="K11:L11"/>
    <mergeCell ref="M11:N11"/>
    <mergeCell ref="A13:A28"/>
    <mergeCell ref="A29:A33"/>
    <mergeCell ref="A35:A36"/>
    <mergeCell ref="A8:F8"/>
    <mergeCell ref="G8:X8"/>
    <mergeCell ref="Y8:AD8"/>
    <mergeCell ref="A9:AD9"/>
    <mergeCell ref="A10:A12"/>
    <mergeCell ref="B10:B12"/>
    <mergeCell ref="C10:Z10"/>
    <mergeCell ref="AA10:AA12"/>
    <mergeCell ref="AB10:AC10"/>
    <mergeCell ref="AD10:AD12"/>
    <mergeCell ref="AB11:AB12"/>
    <mergeCell ref="AC11:AC12"/>
    <mergeCell ref="W11:X11"/>
    <mergeCell ref="Y11:Z11"/>
    <mergeCell ref="A4:AD4"/>
    <mergeCell ref="A5:AD5"/>
    <mergeCell ref="A6:AD6"/>
    <mergeCell ref="A7:F7"/>
    <mergeCell ref="G7:X7"/>
    <mergeCell ref="Y7:AD7"/>
    <mergeCell ref="A1:B3"/>
    <mergeCell ref="C1:AA1"/>
    <mergeCell ref="AB1:AD1"/>
    <mergeCell ref="C2:AA3"/>
    <mergeCell ref="AB2:AD2"/>
    <mergeCell ref="AB3:AD3"/>
  </mergeCells>
  <conditionalFormatting sqref="C44:C45 E44:E45 G44:G45 K44:K45 O44:O45 S44:S45 W44:W45 I44:I45 M44:M45 Q44:Q45 U44:U45 Y44:Y45 AB13:AC16 AB18:AC18 AB20:AC26 C13:Z14 AB33:AC39 C16:Z26 C28:Z39 AB28:AC29">
    <cfRule type="cellIs" dxfId="55" priority="51" operator="between">
      <formula>1</formula>
      <formula>9</formula>
    </cfRule>
    <cfRule type="cellIs" dxfId="54" priority="52" stopIfTrue="1" operator="equal">
      <formula>0</formula>
    </cfRule>
    <cfRule type="cellIs" dxfId="53" priority="53" stopIfTrue="1" operator="equal">
      <formula>0</formula>
    </cfRule>
    <cfRule type="cellIs" dxfId="52" priority="54" stopIfTrue="1" operator="equal">
      <formula>0</formula>
    </cfRule>
    <cfRule type="cellIs" dxfId="51" priority="55" stopIfTrue="1" operator="equal">
      <formula>0</formula>
    </cfRule>
    <cfRule type="cellIs" dxfId="50" priority="56" stopIfTrue="1" operator="equal">
      <formula>1</formula>
    </cfRule>
  </conditionalFormatting>
  <conditionalFormatting sqref="C44:C45 E44:E45 G44:G45 K44:K45 O44:O45 S44:S45 W44:W45 I44:I45 M44:M45 Q44:Q45 U44:U45 Y44:Y45 AB13:AC16 AB18:AC18 AB20:AC26 C13:Z14 AB33:AC39 C16:Z26 C28:Z39 AB28:AC29">
    <cfRule type="cellIs" dxfId="49" priority="50" operator="equal">
      <formula>0</formula>
    </cfRule>
  </conditionalFormatting>
  <conditionalFormatting sqref="C44:C45 E44:E45 G44:G45 K44:K45 O44:O45 S44:S45 W44:W45 I44:I45 M44:M45 Q44:Q45 U44:U45 Y44:Y45 AB13:AC16 AB18:AC18 AB20:AC26 C13:Z14 AB33:AC39 C16:Z26 C28:Z39 AB28:AC29">
    <cfRule type="cellIs" dxfId="48" priority="49" stopIfTrue="1" operator="equal">
      <formula>0</formula>
    </cfRule>
  </conditionalFormatting>
  <conditionalFormatting sqref="AB17:AC17">
    <cfRule type="cellIs" dxfId="47" priority="43" operator="between">
      <formula>1</formula>
      <formula>9</formula>
    </cfRule>
    <cfRule type="cellIs" dxfId="46" priority="44" stopIfTrue="1" operator="equal">
      <formula>0</formula>
    </cfRule>
    <cfRule type="cellIs" dxfId="45" priority="45" stopIfTrue="1" operator="equal">
      <formula>0</formula>
    </cfRule>
    <cfRule type="cellIs" dxfId="44" priority="46" stopIfTrue="1" operator="equal">
      <formula>0</formula>
    </cfRule>
    <cfRule type="cellIs" dxfId="43" priority="47" stopIfTrue="1" operator="equal">
      <formula>0</formula>
    </cfRule>
    <cfRule type="cellIs" dxfId="42" priority="48" stopIfTrue="1" operator="equal">
      <formula>1</formula>
    </cfRule>
  </conditionalFormatting>
  <conditionalFormatting sqref="AB17:AC17">
    <cfRule type="cellIs" dxfId="41" priority="42" operator="equal">
      <formula>0</formula>
    </cfRule>
  </conditionalFormatting>
  <conditionalFormatting sqref="AB17:AC17">
    <cfRule type="cellIs" dxfId="40" priority="41" stopIfTrue="1" operator="equal">
      <formula>0</formula>
    </cfRule>
  </conditionalFormatting>
  <conditionalFormatting sqref="AB19:AC19">
    <cfRule type="cellIs" dxfId="39" priority="35" operator="between">
      <formula>1</formula>
      <formula>9</formula>
    </cfRule>
    <cfRule type="cellIs" dxfId="38" priority="36" stopIfTrue="1" operator="equal">
      <formula>0</formula>
    </cfRule>
    <cfRule type="cellIs" dxfId="37" priority="37" stopIfTrue="1" operator="equal">
      <formula>0</formula>
    </cfRule>
    <cfRule type="cellIs" dxfId="36" priority="38" stopIfTrue="1" operator="equal">
      <formula>0</formula>
    </cfRule>
    <cfRule type="cellIs" dxfId="35" priority="39" stopIfTrue="1" operator="equal">
      <formula>0</formula>
    </cfRule>
    <cfRule type="cellIs" dxfId="34" priority="40" stopIfTrue="1" operator="equal">
      <formula>1</formula>
    </cfRule>
  </conditionalFormatting>
  <conditionalFormatting sqref="AB19:AC19">
    <cfRule type="cellIs" dxfId="33" priority="34" operator="equal">
      <formula>0</formula>
    </cfRule>
  </conditionalFormatting>
  <conditionalFormatting sqref="AB19:AC19">
    <cfRule type="cellIs" dxfId="32" priority="33" stopIfTrue="1" operator="equal">
      <formula>0</formula>
    </cfRule>
  </conditionalFormatting>
  <conditionalFormatting sqref="AB30:AC30">
    <cfRule type="cellIs" dxfId="31" priority="27" operator="between">
      <formula>1</formula>
      <formula>9</formula>
    </cfRule>
    <cfRule type="cellIs" dxfId="30" priority="28" stopIfTrue="1" operator="equal">
      <formula>0</formula>
    </cfRule>
    <cfRule type="cellIs" dxfId="29" priority="29" stopIfTrue="1" operator="equal">
      <formula>0</formula>
    </cfRule>
    <cfRule type="cellIs" dxfId="28" priority="30" stopIfTrue="1" operator="equal">
      <formula>0</formula>
    </cfRule>
    <cfRule type="cellIs" dxfId="27" priority="31" stopIfTrue="1" operator="equal">
      <formula>0</formula>
    </cfRule>
    <cfRule type="cellIs" dxfId="26" priority="32" stopIfTrue="1" operator="equal">
      <formula>1</formula>
    </cfRule>
  </conditionalFormatting>
  <conditionalFormatting sqref="AB30:AC30">
    <cfRule type="cellIs" dxfId="25" priority="26" operator="equal">
      <formula>0</formula>
    </cfRule>
  </conditionalFormatting>
  <conditionalFormatting sqref="AB30:AC30">
    <cfRule type="cellIs" dxfId="24" priority="25" stopIfTrue="1" operator="equal">
      <formula>0</formula>
    </cfRule>
  </conditionalFormatting>
  <conditionalFormatting sqref="AB31:AC32">
    <cfRule type="cellIs" dxfId="23" priority="19" operator="between">
      <formula>1</formula>
      <formula>9</formula>
    </cfRule>
    <cfRule type="cellIs" dxfId="22" priority="20" stopIfTrue="1" operator="equal">
      <formula>0</formula>
    </cfRule>
    <cfRule type="cellIs" dxfId="21" priority="21" stopIfTrue="1" operator="equal">
      <formula>0</formula>
    </cfRule>
    <cfRule type="cellIs" dxfId="20" priority="22" stopIfTrue="1" operator="equal">
      <formula>0</formula>
    </cfRule>
    <cfRule type="cellIs" dxfId="19" priority="23" stopIfTrue="1" operator="equal">
      <formula>0</formula>
    </cfRule>
    <cfRule type="cellIs" dxfId="18" priority="24" stopIfTrue="1" operator="equal">
      <formula>1</formula>
    </cfRule>
  </conditionalFormatting>
  <conditionalFormatting sqref="AB31:AC32">
    <cfRule type="cellIs" dxfId="17" priority="18" operator="equal">
      <formula>0</formula>
    </cfRule>
  </conditionalFormatting>
  <conditionalFormatting sqref="AB31:AC32">
    <cfRule type="cellIs" dxfId="16" priority="17" stopIfTrue="1" operator="equal">
      <formula>0</formula>
    </cfRule>
  </conditionalFormatting>
  <conditionalFormatting sqref="C15:Z15">
    <cfRule type="cellIs" dxfId="15" priority="11" operator="between">
      <formula>1</formula>
      <formula>9</formula>
    </cfRule>
    <cfRule type="cellIs" dxfId="14" priority="12" stopIfTrue="1" operator="equal">
      <formula>0</formula>
    </cfRule>
    <cfRule type="cellIs" dxfId="13" priority="13" stopIfTrue="1" operator="equal">
      <formula>0</formula>
    </cfRule>
    <cfRule type="cellIs" dxfId="12" priority="14" stopIfTrue="1" operator="equal">
      <formula>0</formula>
    </cfRule>
    <cfRule type="cellIs" dxfId="11" priority="15" stopIfTrue="1" operator="equal">
      <formula>0</formula>
    </cfRule>
    <cfRule type="cellIs" dxfId="10" priority="16" stopIfTrue="1" operator="equal">
      <formula>1</formula>
    </cfRule>
  </conditionalFormatting>
  <conditionalFormatting sqref="C15:Z15">
    <cfRule type="cellIs" dxfId="9" priority="10" operator="equal">
      <formula>0</formula>
    </cfRule>
  </conditionalFormatting>
  <conditionalFormatting sqref="C15:Z15">
    <cfRule type="cellIs" dxfId="8" priority="9" stopIfTrue="1" operator="equal">
      <formula>0</formula>
    </cfRule>
  </conditionalFormatting>
  <conditionalFormatting sqref="C27:Z27 AB27:AC27">
    <cfRule type="cellIs" dxfId="7" priority="3" operator="between">
      <formula>1</formula>
      <formula>9</formula>
    </cfRule>
    <cfRule type="cellIs" dxfId="6" priority="4" stopIfTrue="1" operator="equal">
      <formula>0</formula>
    </cfRule>
    <cfRule type="cellIs" dxfId="5" priority="5" stopIfTrue="1" operator="equal">
      <formula>0</formula>
    </cfRule>
    <cfRule type="cellIs" dxfId="4" priority="6" stopIfTrue="1" operator="equal">
      <formula>0</formula>
    </cfRule>
    <cfRule type="cellIs" dxfId="3" priority="7" stopIfTrue="1" operator="equal">
      <formula>0</formula>
    </cfRule>
    <cfRule type="cellIs" dxfId="2" priority="8" stopIfTrue="1" operator="equal">
      <formula>1</formula>
    </cfRule>
  </conditionalFormatting>
  <conditionalFormatting sqref="C27:Z27 AB27:AC27">
    <cfRule type="cellIs" dxfId="1" priority="2" operator="equal">
      <formula>0</formula>
    </cfRule>
  </conditionalFormatting>
  <conditionalFormatting sqref="C27:Z27 AB27:AC27">
    <cfRule type="cellIs" dxfId="0" priority="1" stopIfTrue="1" operator="equal">
      <formula>0</formula>
    </cfRule>
  </conditionalFormatting>
  <dataValidations count="1">
    <dataValidation type="whole" operator="equal" allowBlank="1" showInputMessage="1" showErrorMessage="1" errorTitle="Numero incorrecto" error="No se admiten números diferentes a 1" sqref="C13:Z38">
      <formula1>1</formula1>
    </dataValidation>
  </dataValidations>
  <printOptions horizontalCentered="1"/>
  <pageMargins left="0.39370078740157483" right="0.39370078740157483" top="0.59055118110236227" bottom="0.59055118110236227" header="0" footer="0"/>
  <pageSetup scale="45" fitToHeight="2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 Plan de Trabajo SST</vt:lpstr>
      <vt:lpstr> Plan de Trabajo SST (2)</vt:lpstr>
      <vt:lpstr>' Plan de Trabajo SST'!Área_de_impresión</vt:lpstr>
      <vt:lpstr>' Plan de Trabajo SST (2)'!Área_de_impresión</vt:lpstr>
      <vt:lpstr>' Plan de Trabajo SST'!Títulos_a_imprimir</vt:lpstr>
      <vt:lpstr>' Plan de Trabajo SST (2)'!Títulos_a_imprimir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User</cp:lastModifiedBy>
  <cp:lastPrinted>2021-09-01T05:12:41Z</cp:lastPrinted>
  <dcterms:created xsi:type="dcterms:W3CDTF">2008-10-02T15:12:04Z</dcterms:created>
  <dcterms:modified xsi:type="dcterms:W3CDTF">2021-10-11T20:50:12Z</dcterms:modified>
</cp:coreProperties>
</file>