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E:\dayana\EXCAVACIONES CORREA MEJIA S.A.S\SGSST\SG-SST AÑO 2020\3_Asignacion de Recursos\"/>
    </mc:Choice>
  </mc:AlternateContent>
  <xr:revisionPtr revIDLastSave="0" documentId="13_ncr:1_{23BB1A12-71EF-4698-84A2-13AB9FD07CEA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ESUPUESTO SST (2020)" sheetId="2" r:id="rId1"/>
  </sheets>
  <definedNames>
    <definedName name="_xlnm.Print_Area" localSheetId="0">'PRESUPUESTO SST (2020)'!$A$1:$R$13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" i="2" l="1"/>
  <c r="N11" i="2" l="1"/>
  <c r="P11" i="2"/>
  <c r="Q11" i="2" s="1"/>
  <c r="P10" i="2"/>
  <c r="J12" i="2" l="1"/>
  <c r="O12" i="2"/>
  <c r="O13" i="2" s="1"/>
  <c r="N13" i="2"/>
  <c r="M13" i="2"/>
  <c r="L13" i="2"/>
  <c r="K13" i="2"/>
  <c r="I13" i="2"/>
  <c r="H13" i="2"/>
  <c r="G13" i="2"/>
  <c r="F13" i="2"/>
  <c r="E13" i="2"/>
  <c r="D13" i="2"/>
  <c r="Q10" i="2"/>
  <c r="P9" i="2"/>
  <c r="Q9" i="2" s="1"/>
  <c r="P8" i="2"/>
  <c r="J13" i="2" l="1"/>
  <c r="P12" i="2"/>
  <c r="C13" i="2"/>
  <c r="Q12" i="2" l="1"/>
  <c r="P13" i="2"/>
  <c r="Q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User</author>
  </authors>
  <commentList>
    <comment ref="L9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hernando valencia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jorge delgado</t>
        </r>
      </text>
    </comment>
    <comment ref="N11" authorId="1" shapeId="0" xr:uid="{00000000-0006-0000-0000-000003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volqueta MBH916
retro 420D</t>
        </r>
      </text>
    </comment>
    <comment ref="J12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K12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</t>
        </r>
      </text>
    </comment>
    <comment ref="N12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</t>
        </r>
      </text>
    </comment>
    <comment ref="O12" authorId="0" shapeId="0" xr:uid="{00000000-0006-0000-0000-000007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CHALECO - DOTACION LINA</t>
        </r>
      </text>
    </comment>
  </commentList>
</comments>
</file>

<file path=xl/sharedStrings.xml><?xml version="1.0" encoding="utf-8"?>
<sst xmlns="http://schemas.openxmlformats.org/spreadsheetml/2006/main" count="38" uniqueCount="35">
  <si>
    <t>DESCRIPCION</t>
  </si>
  <si>
    <t>ENERO</t>
  </si>
  <si>
    <t>% EJECUCION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</si>
  <si>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</si>
  <si>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</si>
  <si>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</si>
  <si>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</si>
  <si>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</si>
  <si>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</si>
  <si>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</si>
  <si>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</si>
  <si>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</si>
  <si>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</si>
  <si>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TOTAL</t>
  </si>
  <si>
    <t>Exámenes Ocup. Ingreso</t>
  </si>
  <si>
    <t>Exámenes Ocup. Periódicos</t>
  </si>
  <si>
    <t>Exámenes Ocup. Retiro</t>
  </si>
  <si>
    <t>JULIO</t>
  </si>
  <si>
    <t>OBSERVACIONES</t>
  </si>
  <si>
    <t>RECURSOS</t>
  </si>
  <si>
    <t>Pago a proveedores, equipo de cómputo.</t>
  </si>
  <si>
    <t>TOTAL AÑO 2018</t>
  </si>
  <si>
    <t>SISTEMA DE GESTIÓN DE LA SEGURIDAD Y SALUD EN EL TRABAJO</t>
  </si>
  <si>
    <t>SEGUIMIENTO A PRESUPUESTO GENERAL DEL SISTEMA DE GESTIÓN DE LA SEGURIDAD Y SALUD EN EL TRABAJO</t>
  </si>
  <si>
    <t>VIGENCIA</t>
  </si>
  <si>
    <t>PRESUPUESTO</t>
  </si>
  <si>
    <t>Proveedor externo que cumpla con licencia en SST, habilitación en salud</t>
  </si>
  <si>
    <t>Recarga de extintores</t>
  </si>
  <si>
    <t>Elementos de protección personal, Dotación</t>
  </si>
  <si>
    <t>Fecha: 17/01/2020</t>
  </si>
  <si>
    <t>Version: 001</t>
  </si>
  <si>
    <t>Pagina 1 de 2</t>
  </si>
  <si>
    <t>Actualizó y Revisó</t>
  </si>
  <si>
    <t>Lina Maria Correa Mejía - Gerente</t>
  </si>
  <si>
    <t>Firma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</si>
</sst>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$&quot;\ * #,##0.00_ ;_ &quot;$&quot;\ * \-#,##0.00_ ;_ &quot;$&quot;\ * &quot;-&quot;??_ ;_ @_ "/>
    <numFmt numFmtId="165" formatCode="General_)"/>
    <numFmt numFmtId="166" formatCode="_-[$$-240A]\ * #,##0_-;\-[$$-240A]\ * #,##0_-;_-[$$-240A]\ * &quot;-&quot;??_-;_-@_-"/>
  </numFmts>
  <fonts count="30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18B"/>
        <bgColor indexed="38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medium">
        <color indexed="64"/>
      </right>
      <top style="dashed">
        <color auto="1"/>
      </top>
      <bottom/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23" borderId="4" applyNumberFormat="0" applyFont="0" applyAlignment="0" applyProtection="0"/>
    <xf numFmtId="9" fontId="1" fillId="0" borderId="0" applyFont="0" applyFill="0" applyBorder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8" fillId="0" borderId="8" applyNumberFormat="0" applyFill="0" applyAlignment="0" applyProtection="0"/>
    <xf numFmtId="0" fontId="19" fillId="0" borderId="9" applyNumberFormat="0" applyFill="0" applyAlignment="0" applyProtection="0"/>
  </cellStyleXfs>
  <cellXfs count="56">
    <xf numFmtId="0" fontId="0" fillId="0" borderId="0" xfId="0"/>
    <xf numFmtId="0" fontId="20" fillId="24" borderId="0" xfId="0" applyFont="1" applyFill="1" applyBorder="1" applyAlignment="1">
      <alignment horizontal="center" vertical="center" wrapText="1"/>
    </xf>
    <xf numFmtId="0" fontId="20" fillId="24" borderId="0" xfId="0" applyFont="1" applyFill="1" applyBorder="1" applyAlignment="1">
      <alignment horizontal="left" vertical="center" wrapText="1"/>
    </xf>
    <xf numFmtId="0" fontId="21" fillId="24" borderId="10" xfId="0" applyFont="1" applyFill="1" applyBorder="1" applyAlignment="1">
      <alignment vertical="center" wrapText="1"/>
    </xf>
    <xf numFmtId="0" fontId="21" fillId="24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1" fillId="2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horizontal="right" vertical="center" wrapText="1"/>
    </xf>
    <xf numFmtId="0" fontId="20" fillId="24" borderId="11" xfId="0" applyFont="1" applyFill="1" applyBorder="1" applyAlignment="1">
      <alignment vertical="center" wrapText="1"/>
    </xf>
    <xf numFmtId="0" fontId="20" fillId="24" borderId="11" xfId="0" applyFont="1" applyFill="1" applyBorder="1" applyAlignment="1">
      <alignment horizontal="center" vertical="center" wrapText="1"/>
    </xf>
    <xf numFmtId="0" fontId="29" fillId="0" borderId="0" xfId="0" applyFont="1" applyBorder="1" applyAlignment="1">
      <alignment vertical="center"/>
    </xf>
    <xf numFmtId="166" fontId="1" fillId="0" borderId="0" xfId="0" applyNumberFormat="1" applyFont="1" applyBorder="1" applyAlignment="1">
      <alignment vertical="center"/>
    </xf>
    <xf numFmtId="165" fontId="28" fillId="24" borderId="12" xfId="0" applyNumberFormat="1" applyFont="1" applyFill="1" applyBorder="1" applyAlignment="1" applyProtection="1">
      <alignment horizontal="left" vertical="center" wrapText="1"/>
    </xf>
    <xf numFmtId="166" fontId="28" fillId="24" borderId="12" xfId="32" applyNumberFormat="1" applyFont="1" applyFill="1" applyBorder="1" applyAlignment="1">
      <alignment vertical="center" wrapText="1"/>
    </xf>
    <xf numFmtId="166" fontId="28" fillId="24" borderId="12" xfId="0" applyNumberFormat="1" applyFont="1" applyFill="1" applyBorder="1" applyAlignment="1">
      <alignment vertical="center" wrapText="1"/>
    </xf>
    <xf numFmtId="166" fontId="28" fillId="24" borderId="12" xfId="32" applyNumberFormat="1" applyFont="1" applyFill="1" applyBorder="1" applyAlignment="1">
      <alignment horizontal="left" vertical="center" wrapText="1"/>
    </xf>
    <xf numFmtId="9" fontId="28" fillId="24" borderId="12" xfId="35" applyNumberFormat="1" applyFont="1" applyFill="1" applyBorder="1" applyAlignment="1">
      <alignment horizontal="center" vertical="center" wrapText="1"/>
    </xf>
    <xf numFmtId="165" fontId="28" fillId="0" borderId="12" xfId="0" applyNumberFormat="1" applyFont="1" applyFill="1" applyBorder="1" applyAlignment="1" applyProtection="1">
      <alignment horizontal="left" vertical="center" wrapText="1"/>
    </xf>
    <xf numFmtId="165" fontId="28" fillId="0" borderId="13" xfId="0" applyNumberFormat="1" applyFont="1" applyFill="1" applyBorder="1" applyAlignment="1" applyProtection="1">
      <alignment horizontal="left" vertical="center" wrapText="1"/>
    </xf>
    <xf numFmtId="166" fontId="28" fillId="0" borderId="13" xfId="32" applyNumberFormat="1" applyFont="1" applyFill="1" applyBorder="1" applyAlignment="1">
      <alignment vertical="center" wrapText="1"/>
    </xf>
    <xf numFmtId="166" fontId="28" fillId="24" borderId="13" xfId="0" applyNumberFormat="1" applyFont="1" applyFill="1" applyBorder="1" applyAlignment="1">
      <alignment vertical="center" wrapText="1"/>
    </xf>
    <xf numFmtId="166" fontId="28" fillId="24" borderId="13" xfId="32" applyNumberFormat="1" applyFont="1" applyFill="1" applyBorder="1" applyAlignment="1">
      <alignment horizontal="left" vertical="center" wrapText="1"/>
    </xf>
    <xf numFmtId="9" fontId="28" fillId="24" borderId="13" xfId="35" applyNumberFormat="1" applyFont="1" applyFill="1" applyBorder="1" applyAlignment="1">
      <alignment horizontal="center" vertical="center" wrapText="1"/>
    </xf>
    <xf numFmtId="0" fontId="21" fillId="25" borderId="14" xfId="0" applyFont="1" applyFill="1" applyBorder="1" applyAlignment="1">
      <alignment horizontal="left" vertical="center" wrapText="1"/>
    </xf>
    <xf numFmtId="0" fontId="21" fillId="25" borderId="15" xfId="0" applyFont="1" applyFill="1" applyBorder="1" applyAlignment="1">
      <alignment horizontal="left" vertical="center" wrapText="1"/>
    </xf>
    <xf numFmtId="166" fontId="21" fillId="25" borderId="15" xfId="32" applyNumberFormat="1" applyFont="1" applyFill="1" applyBorder="1" applyAlignment="1">
      <alignment horizontal="left" vertical="center" wrapText="1"/>
    </xf>
    <xf numFmtId="9" fontId="28" fillId="25" borderId="15" xfId="35" applyNumberFormat="1" applyFont="1" applyFill="1" applyBorder="1" applyAlignment="1">
      <alignment horizontal="center" vertical="center" wrapText="1"/>
    </xf>
    <xf numFmtId="9" fontId="21" fillId="25" borderId="16" xfId="35" applyNumberFormat="1" applyFont="1" applyFill="1" applyBorder="1" applyAlignment="1">
      <alignment horizontal="left" vertical="center" wrapText="1"/>
    </xf>
    <xf numFmtId="165" fontId="28" fillId="24" borderId="17" xfId="0" applyNumberFormat="1" applyFont="1" applyFill="1" applyBorder="1" applyAlignment="1" applyProtection="1">
      <alignment horizontal="left" vertical="center" wrapText="1"/>
    </xf>
    <xf numFmtId="166" fontId="28" fillId="24" borderId="17" xfId="32" applyNumberFormat="1" applyFont="1" applyFill="1" applyBorder="1" applyAlignment="1">
      <alignment vertical="center" wrapText="1"/>
    </xf>
    <xf numFmtId="166" fontId="28" fillId="24" borderId="17" xfId="0" applyNumberFormat="1" applyFont="1" applyFill="1" applyBorder="1" applyAlignment="1">
      <alignment vertical="center" wrapText="1"/>
    </xf>
    <xf numFmtId="166" fontId="28" fillId="24" borderId="17" xfId="32" applyNumberFormat="1" applyFont="1" applyFill="1" applyBorder="1" applyAlignment="1">
      <alignment horizontal="left" vertical="center" wrapText="1"/>
    </xf>
    <xf numFmtId="9" fontId="28" fillId="24" borderId="17" xfId="35" applyNumberFormat="1" applyFont="1" applyFill="1" applyBorder="1" applyAlignment="1">
      <alignment horizontal="center" vertical="center" wrapText="1"/>
    </xf>
    <xf numFmtId="0" fontId="22" fillId="26" borderId="14" xfId="0" applyFont="1" applyFill="1" applyBorder="1" applyAlignment="1">
      <alignment horizontal="center" vertical="center" wrapText="1"/>
    </xf>
    <xf numFmtId="0" fontId="22" fillId="26" borderId="15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0" fillId="24" borderId="18" xfId="0" applyFont="1" applyFill="1" applyBorder="1" applyAlignment="1">
      <alignment horizontal="center" vertical="center" wrapText="1"/>
    </xf>
    <xf numFmtId="0" fontId="21" fillId="24" borderId="19" xfId="0" applyFont="1" applyFill="1" applyBorder="1" applyAlignment="1">
      <alignment vertical="center" wrapText="1"/>
    </xf>
    <xf numFmtId="0" fontId="20" fillId="24" borderId="18" xfId="0" applyFont="1" applyFill="1" applyBorder="1" applyAlignment="1">
      <alignment horizontal="right" vertical="center" wrapText="1"/>
    </xf>
    <xf numFmtId="0" fontId="20" fillId="24" borderId="19" xfId="0" applyFont="1" applyFill="1" applyBorder="1" applyAlignment="1">
      <alignment vertical="center" wrapText="1"/>
    </xf>
    <xf numFmtId="165" fontId="28" fillId="24" borderId="20" xfId="0" applyNumberFormat="1" applyFont="1" applyFill="1" applyBorder="1" applyAlignment="1" applyProtection="1">
      <alignment horizontal="left" vertical="center" wrapText="1"/>
    </xf>
    <xf numFmtId="9" fontId="28" fillId="24" borderId="21" xfId="35" applyNumberFormat="1" applyFont="1" applyFill="1" applyBorder="1" applyAlignment="1">
      <alignment horizontal="left" vertical="center" wrapText="1"/>
    </xf>
    <xf numFmtId="165" fontId="28" fillId="24" borderId="22" xfId="0" applyNumberFormat="1" applyFont="1" applyFill="1" applyBorder="1" applyAlignment="1" applyProtection="1">
      <alignment horizontal="left" vertical="center" wrapText="1"/>
    </xf>
    <xf numFmtId="9" fontId="28" fillId="24" borderId="23" xfId="35" applyNumberFormat="1" applyFont="1" applyFill="1" applyBorder="1" applyAlignment="1">
      <alignment horizontal="left" vertical="center" wrapText="1"/>
    </xf>
    <xf numFmtId="165" fontId="28" fillId="0" borderId="24" xfId="0" applyNumberFormat="1" applyFont="1" applyFill="1" applyBorder="1" applyAlignment="1" applyProtection="1">
      <alignment horizontal="left" vertical="center" wrapText="1"/>
    </xf>
    <xf numFmtId="9" fontId="28" fillId="24" borderId="25" xfId="35" applyNumberFormat="1" applyFont="1" applyFill="1" applyBorder="1" applyAlignment="1">
      <alignment horizontal="left" vertical="center" wrapText="1"/>
    </xf>
    <xf numFmtId="0" fontId="20" fillId="24" borderId="10" xfId="0" applyFont="1" applyFill="1" applyBorder="1" applyAlignment="1">
      <alignment horizontal="center" vertical="center" wrapText="1"/>
    </xf>
    <xf numFmtId="0" fontId="21" fillId="24" borderId="1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 wrapText="1"/>
    </xf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0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oneda" xfId="32" builtinId="4"/>
    <cellStyle name="Neutral" xfId="33" builtinId="28" customBuiltin="1"/>
    <cellStyle name="Normal" xfId="0" builtinId="0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0"/>
  <tableStyles count="0" defaultTableStyle="TableStyleMedium9" defaultPivotStyle="PivotStyleLight16"/>
  <colors>
    <mruColors>
      <color rgb="FFFEE8E6"/>
      <color rgb="FFFEE882"/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510887</xdr:colOff>
      <xdr:row>0</xdr:row>
      <xdr:rowOff>0</xdr:rowOff>
    </xdr:from>
    <xdr:to>
      <xdr:col>0</xdr:col>
      <xdr:colOff>1809750</xdr:colOff>
      <xdr:row>2</xdr:row>
      <xdr:rowOff>194496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FC57895-0A48-45E9-A7E3-BE43A124BA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064"/>
        <a:stretch/>
      </xdr:blipFill>
      <xdr:spPr>
        <a:xfrm>
          <a:off x="510887" y="0"/>
          <a:ext cx="1298863" cy="8326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14"/>
  <sheetViews>
    <sheetView tabSelected="1" topLeftCell="K1" zoomScale="130" zoomScaleNormal="130" workbookViewId="0">
      <pane ySplit="7" topLeftCell="A8" activePane="bottomLeft" state="frozen"/>
      <selection activeCell="F1" sqref="F1"/>
      <selection pane="bottomLeft" activeCell="Q8" sqref="Q8"/>
    </sheetView>
  </sheetViews>
  <sheetFormatPr baseColWidth="10" defaultRowHeight="12.75" x14ac:dyDescent="0.2"/>
  <cols>
    <col min="1" max="1" width="39.28515625" style="7" customWidth="1"/>
    <col min="2" max="2" width="32.140625" style="7" customWidth="1"/>
    <col min="3" max="3" width="18.7109375" style="7" customWidth="1"/>
    <col min="4" max="15" width="13.7109375" style="7" customWidth="1"/>
    <col min="16" max="16" width="15.7109375" style="7" customWidth="1"/>
    <col min="17" max="17" width="15.7109375" style="9" customWidth="1"/>
    <col min="18" max="18" width="24.140625" style="5" customWidth="1"/>
    <col min="19" max="16384" width="11.42578125" style="7"/>
  </cols>
  <sheetData>
    <row r="1" spans="1:18" ht="30.75" customHeight="1" thickBot="1" x14ac:dyDescent="0.25">
      <c r="A1" s="52"/>
      <c r="B1" s="52" t="s">
        <v>22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3" t="s">
        <v>29</v>
      </c>
    </row>
    <row r="2" spans="1:18" ht="20.100000000000001" customHeight="1" thickBot="1" x14ac:dyDescent="0.25">
      <c r="A2" s="52"/>
      <c r="B2" s="53" t="s">
        <v>23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3" t="s">
        <v>30</v>
      </c>
    </row>
    <row r="3" spans="1:18" ht="20.100000000000001" customHeight="1" thickBot="1" x14ac:dyDescent="0.2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3" t="s">
        <v>31</v>
      </c>
    </row>
    <row r="4" spans="1:18" ht="8.25" customHeight="1" x14ac:dyDescent="0.2">
      <c r="A4" s="42"/>
      <c r="B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8"/>
      <c r="R4" s="43"/>
    </row>
    <row r="5" spans="1:18" s="10" customFormat="1" ht="20.100000000000001" customHeight="1" x14ac:dyDescent="0.2">
      <c r="A5" s="44" t="s">
        <v>24</v>
      </c>
      <c r="B5" s="15">
        <v>2020</v>
      </c>
      <c r="D5" s="54" t="s">
        <v>32</v>
      </c>
      <c r="E5" s="54"/>
      <c r="F5" s="55" t="s">
        <v>33</v>
      </c>
      <c r="G5" s="55"/>
      <c r="H5" s="55"/>
      <c r="I5" s="4"/>
      <c r="J5" s="4"/>
      <c r="L5" s="11"/>
      <c r="M5" s="11"/>
      <c r="N5" s="13" t="s">
        <v>34</v>
      </c>
      <c r="O5" s="14"/>
      <c r="P5" s="14"/>
      <c r="Q5" s="15"/>
      <c r="R5" s="45"/>
    </row>
    <row r="6" spans="1:18" s="10" customFormat="1" ht="7.5" customHeight="1" thickBot="1" x14ac:dyDescent="0.25">
      <c r="A6" s="42"/>
      <c r="B6" s="2"/>
      <c r="C6" s="12"/>
      <c r="D6" s="8"/>
      <c r="E6" s="8"/>
      <c r="F6" s="13"/>
      <c r="G6" s="11"/>
      <c r="H6" s="11"/>
      <c r="I6" s="11"/>
      <c r="J6" s="11"/>
      <c r="K6" s="11"/>
      <c r="L6" s="11"/>
      <c r="M6" s="11"/>
      <c r="N6" s="11"/>
      <c r="O6" s="11"/>
      <c r="P6" s="11"/>
      <c r="Q6" s="1"/>
      <c r="R6" s="45"/>
    </row>
    <row r="7" spans="1:18" s="6" customFormat="1" ht="15" customHeight="1" thickBot="1" x14ac:dyDescent="0.25">
      <c r="A7" s="39" t="s">
        <v>0</v>
      </c>
      <c r="B7" s="40" t="s">
        <v>19</v>
      </c>
      <c r="C7" s="40" t="s">
        <v>25</v>
      </c>
      <c r="D7" s="40" t="s">
        <v>1</v>
      </c>
      <c r="E7" s="40" t="s">
        <v>3</v>
      </c>
      <c r="F7" s="40" t="s">
        <v>4</v>
      </c>
      <c r="G7" s="40" t="s">
        <v>5</v>
      </c>
      <c r="H7" s="40" t="s">
        <v>6</v>
      </c>
      <c r="I7" s="40" t="s">
        <v>7</v>
      </c>
      <c r="J7" s="40" t="s">
        <v>17</v>
      </c>
      <c r="K7" s="40" t="s">
        <v>8</v>
      </c>
      <c r="L7" s="40" t="s">
        <v>9</v>
      </c>
      <c r="M7" s="40" t="s">
        <v>10</v>
      </c>
      <c r="N7" s="40" t="s">
        <v>11</v>
      </c>
      <c r="O7" s="40" t="s">
        <v>12</v>
      </c>
      <c r="P7" s="40" t="s">
        <v>21</v>
      </c>
      <c r="Q7" s="40" t="s">
        <v>2</v>
      </c>
      <c r="R7" s="41" t="s">
        <v>18</v>
      </c>
    </row>
    <row r="8" spans="1:18" s="16" customFormat="1" ht="66.75" customHeight="1" x14ac:dyDescent="0.2">
      <c r="A8" s="46" t="s">
        <v>14</v>
      </c>
      <c r="B8" s="34" t="s">
        <v>26</v>
      </c>
      <c r="C8" s="35">
        <v>350000</v>
      </c>
      <c r="D8" s="35">
        <v>75000</v>
      </c>
      <c r="E8" s="35">
        <v>0</v>
      </c>
      <c r="F8" s="35">
        <v>75500</v>
      </c>
      <c r="G8" s="35">
        <v>0</v>
      </c>
      <c r="H8" s="35">
        <v>140500</v>
      </c>
      <c r="I8" s="35">
        <v>0</v>
      </c>
      <c r="J8" s="35">
        <v>50500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7">
        <f t="shared" ref="P8:P9" si="0">IFERROR(SUM(D8:O8),"")</f>
        <v>341500</v>
      </c>
      <c r="Q8" s="38">
        <f>IFERROR((P8/C8),"")</f>
        <v>0.97571428571428576</v>
      </c>
      <c r="R8" s="47"/>
    </row>
    <row r="9" spans="1:18" s="16" customFormat="1" ht="66.75" customHeight="1" x14ac:dyDescent="0.2">
      <c r="A9" s="48" t="s">
        <v>15</v>
      </c>
      <c r="B9" s="18" t="s">
        <v>26</v>
      </c>
      <c r="C9" s="19">
        <v>150000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20">
        <v>0</v>
      </c>
      <c r="L9" s="20">
        <v>39500</v>
      </c>
      <c r="M9" s="20">
        <v>0</v>
      </c>
      <c r="N9" s="20">
        <v>98800</v>
      </c>
      <c r="O9" s="20">
        <v>0</v>
      </c>
      <c r="P9" s="21">
        <f t="shared" si="0"/>
        <v>138300</v>
      </c>
      <c r="Q9" s="22">
        <f t="shared" ref="Q9:Q13" si="1">IFERROR((P9/C9),"")</f>
        <v>0.92200000000000004</v>
      </c>
      <c r="R9" s="49"/>
    </row>
    <row r="10" spans="1:18" s="16" customFormat="1" ht="66.75" customHeight="1" x14ac:dyDescent="0.2">
      <c r="A10" s="48" t="s">
        <v>16</v>
      </c>
      <c r="B10" s="18" t="s">
        <v>26</v>
      </c>
      <c r="C10" s="19">
        <v>100000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20">
        <v>0</v>
      </c>
      <c r="L10" s="20">
        <v>0</v>
      </c>
      <c r="M10" s="20">
        <v>0</v>
      </c>
      <c r="N10" s="20">
        <v>35000</v>
      </c>
      <c r="O10" s="20">
        <v>0</v>
      </c>
      <c r="P10" s="21">
        <f>IFERROR(SUM(D10:O10),"")</f>
        <v>35000</v>
      </c>
      <c r="Q10" s="22">
        <f t="shared" si="1"/>
        <v>0.35</v>
      </c>
      <c r="R10" s="49"/>
    </row>
    <row r="11" spans="1:18" s="16" customFormat="1" ht="66.75" customHeight="1" x14ac:dyDescent="0.2">
      <c r="A11" s="48" t="s">
        <v>27</v>
      </c>
      <c r="B11" s="23" t="s">
        <v>20</v>
      </c>
      <c r="C11" s="19">
        <v>40000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20">
        <v>0</v>
      </c>
      <c r="L11" s="20">
        <v>0</v>
      </c>
      <c r="M11" s="20">
        <v>0</v>
      </c>
      <c r="N11" s="20">
        <f>12000+25000</f>
        <v>37000</v>
      </c>
      <c r="O11" s="20">
        <v>0</v>
      </c>
      <c r="P11" s="21">
        <f t="shared" ref="P11:P12" si="2">IFERROR(SUM(D11:O11),"")</f>
        <v>37000</v>
      </c>
      <c r="Q11" s="22">
        <f t="shared" si="1"/>
        <v>0.92500000000000004</v>
      </c>
      <c r="R11" s="49"/>
    </row>
    <row r="12" spans="1:18" s="16" customFormat="1" ht="66.75" customHeight="1" thickBot="1" x14ac:dyDescent="0.25">
      <c r="A12" s="50" t="s">
        <v>28</v>
      </c>
      <c r="B12" s="24" t="s">
        <v>20</v>
      </c>
      <c r="C12" s="25">
        <v>1100000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f>350800+177100</f>
        <v>527900</v>
      </c>
      <c r="K12" s="26">
        <v>205751</v>
      </c>
      <c r="L12" s="26">
        <v>0</v>
      </c>
      <c r="M12" s="26">
        <v>0</v>
      </c>
      <c r="N12" s="26">
        <v>251090</v>
      </c>
      <c r="O12" s="26">
        <f>12000+19760</f>
        <v>31760</v>
      </c>
      <c r="P12" s="27">
        <f t="shared" si="2"/>
        <v>1016501</v>
      </c>
      <c r="Q12" s="28">
        <f t="shared" si="1"/>
        <v>0.92409181818181818</v>
      </c>
      <c r="R12" s="51"/>
    </row>
    <row r="13" spans="1:18" s="16" customFormat="1" ht="24.75" customHeight="1" thickBot="1" x14ac:dyDescent="0.25">
      <c r="A13" s="29" t="s">
        <v>13</v>
      </c>
      <c r="B13" s="30"/>
      <c r="C13" s="31">
        <f t="shared" ref="C13:P13" si="3">SUM(C8:C12)</f>
        <v>1740000</v>
      </c>
      <c r="D13" s="31">
        <f t="shared" si="3"/>
        <v>75000</v>
      </c>
      <c r="E13" s="31">
        <f t="shared" si="3"/>
        <v>0</v>
      </c>
      <c r="F13" s="31">
        <f t="shared" si="3"/>
        <v>75500</v>
      </c>
      <c r="G13" s="31">
        <f t="shared" si="3"/>
        <v>0</v>
      </c>
      <c r="H13" s="31">
        <f t="shared" si="3"/>
        <v>140500</v>
      </c>
      <c r="I13" s="31">
        <f t="shared" si="3"/>
        <v>0</v>
      </c>
      <c r="J13" s="31">
        <f t="shared" si="3"/>
        <v>578400</v>
      </c>
      <c r="K13" s="31">
        <f t="shared" si="3"/>
        <v>205751</v>
      </c>
      <c r="L13" s="31">
        <f t="shared" si="3"/>
        <v>39500</v>
      </c>
      <c r="M13" s="31">
        <f t="shared" si="3"/>
        <v>0</v>
      </c>
      <c r="N13" s="31">
        <f t="shared" si="3"/>
        <v>421890</v>
      </c>
      <c r="O13" s="31">
        <f t="shared" si="3"/>
        <v>31760</v>
      </c>
      <c r="P13" s="31">
        <f t="shared" si="3"/>
        <v>1568301</v>
      </c>
      <c r="Q13" s="32">
        <f t="shared" si="1"/>
        <v>0.90132241379310341</v>
      </c>
      <c r="R13" s="33"/>
    </row>
    <row r="14" spans="1:18" x14ac:dyDescent="0.2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</row>
  </sheetData>
  <mergeCells count="5">
    <mergeCell ref="A1:A3"/>
    <mergeCell ref="B1:Q1"/>
    <mergeCell ref="B2:Q3"/>
    <mergeCell ref="D5:E5"/>
    <mergeCell ref="F5:H5"/>
  </mergeCells>
  <pageMargins left="0.75" right="0.75" top="1" bottom="1" header="0" footer="0"/>
  <pageSetup scale="39" fitToHeight="0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 SST (2020)</vt:lpstr>
      <vt:lpstr>'PRESUPUESTO SST (2020)'!Área_de_impresión</vt:lpstr>
    </vt:vector>
  </TitlesOfParts>
  <Company>COLMENA ARP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TM02ALCA</dc:creator>
  <cp:lastModifiedBy>usuario</cp:lastModifiedBy>
  <cp:lastPrinted>2021-09-28T15:13:29Z</cp:lastPrinted>
  <dcterms:created xsi:type="dcterms:W3CDTF">2015-06-30T16:47:56Z</dcterms:created>
  <dcterms:modified xsi:type="dcterms:W3CDTF">2021-10-27T01:36:30Z</dcterms:modified>
</cp:coreProperties>
</file>