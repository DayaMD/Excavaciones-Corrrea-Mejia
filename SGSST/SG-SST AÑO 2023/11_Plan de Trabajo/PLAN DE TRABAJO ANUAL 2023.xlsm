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ayana Git\Excavaciones-Corrrea-Mejia\SGSST\SG-SST AÑO 2023\11_Plan de Trabajo\"/>
    </mc:Choice>
  </mc:AlternateContent>
  <bookViews>
    <workbookView xWindow="-120" yWindow="-120" windowWidth="20730" windowHeight="11160" tabRatio="584"/>
  </bookViews>
  <sheets>
    <sheet name=" Plan de Trabajo SST" sheetId="5" r:id="rId1"/>
  </sheets>
  <definedNames>
    <definedName name="_xlnm._FilterDatabase" localSheetId="0" hidden="1">' Plan de Trabajo SST'!$A$11:$AF$44</definedName>
    <definedName name="_xlnm.Print_Area" localSheetId="0">' Plan de Trabajo SST'!$A$1:$AD$69</definedName>
    <definedName name="_xlnm.Print_Titles" localSheetId="0">' Plan de Trabajo SST'!$10:$12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<sst xmlns="http://schemas.openxmlformats.org/spreadsheetml/2006/main" count="188" uniqueCount="114">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</sst>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€-2]* #,##0.00_-;\-[$€-2]* #,##0.00_-;_-[$€-2]* &quot;-&quot;??_-"/>
  </numFmts>
  <fonts count="2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3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/>
    <cellStyle name="Incorrecto" xfId="29" builtinId="27" customBuiltin="1"/>
    <cellStyle name="Neutral" xfId="30" builtinId="28" customBuiltin="1"/>
    <cellStyle name="Normal" xfId="0" builtinId="0"/>
    <cellStyle name="Normal 2" xfId="31"/>
    <cellStyle name="Normal 3" xfId="32"/>
    <cellStyle name="Porcentaje" xfId="33" builtinId="5"/>
    <cellStyle name="Porcentual 2" xfId="34"/>
    <cellStyle name="Salida" xfId="35" builtinId="21" customBuiltin="1"/>
    <cellStyle name="Título" xfId="36" builtinId="15" customBuiltin="1"/>
    <cellStyle name="Total" xfId="37" builtinId="25" customBuiltin="1"/>
  </cellStyles>
  <dxfs count="48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0.75</c:v>
                </c:pt>
                <c:pt idx="4">
                  <c:v>0.5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0.21276595744680851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  <pageSetUpPr fitToPage="1"/>
  </sheetPr>
  <dimension ref="A1:AF69"/>
  <sheetViews>
    <sheetView showGridLines="0" tabSelected="1" topLeftCell="A9" zoomScaleNormal="100" zoomScaleSheetLayoutView="55" zoomScalePageLayoutView="60" workbookViewId="0">
      <selection activeCell="I33" sqref="I33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39"/>
      <c r="B1" s="39"/>
      <c r="C1" s="120" t="s">
        <v>84</v>
      </c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2" t="s">
        <v>85</v>
      </c>
      <c r="AC1" s="122"/>
      <c r="AD1" s="122"/>
    </row>
    <row r="2" spans="1:32" ht="44.25" customHeight="1" thickBot="1" x14ac:dyDescent="0.25">
      <c r="A2" s="39"/>
      <c r="B2" s="39"/>
      <c r="C2" s="121" t="s">
        <v>49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2" t="s">
        <v>86</v>
      </c>
      <c r="AC2" s="122"/>
      <c r="AD2" s="122"/>
    </row>
    <row r="3" spans="1:32" ht="44.25" customHeight="1" thickBot="1" x14ac:dyDescent="0.25">
      <c r="A3" s="39"/>
      <c r="B3" s="39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2" t="s">
        <v>90</v>
      </c>
      <c r="AC3" s="122"/>
      <c r="AD3" s="122"/>
    </row>
    <row r="4" spans="1:32" ht="17.25" customHeight="1" thickBo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5"/>
      <c r="AF4" s="31"/>
    </row>
    <row r="5" spans="1:32" ht="21" customHeight="1" thickBot="1" x14ac:dyDescent="0.25">
      <c r="A5" s="66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8"/>
    </row>
    <row r="6" spans="1:32" ht="85.5" customHeight="1" thickBot="1" x14ac:dyDescent="0.25">
      <c r="A6" s="69" t="s">
        <v>72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1"/>
    </row>
    <row r="7" spans="1:32" ht="24" customHeight="1" thickBot="1" x14ac:dyDescent="0.25">
      <c r="A7" s="66" t="s">
        <v>5</v>
      </c>
      <c r="B7" s="67"/>
      <c r="C7" s="67"/>
      <c r="D7" s="67"/>
      <c r="E7" s="67"/>
      <c r="F7" s="68"/>
      <c r="G7" s="66" t="s">
        <v>1</v>
      </c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8"/>
      <c r="Y7" s="66" t="s">
        <v>52</v>
      </c>
      <c r="Z7" s="67"/>
      <c r="AA7" s="67"/>
      <c r="AB7" s="67"/>
      <c r="AC7" s="67"/>
      <c r="AD7" s="68"/>
    </row>
    <row r="8" spans="1:32" ht="56.25" customHeight="1" thickBot="1" x14ac:dyDescent="0.25">
      <c r="A8" s="89" t="s">
        <v>41</v>
      </c>
      <c r="B8" s="90"/>
      <c r="C8" s="90"/>
      <c r="D8" s="90"/>
      <c r="E8" s="90"/>
      <c r="F8" s="91"/>
      <c r="G8" s="89" t="s">
        <v>6</v>
      </c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1"/>
      <c r="Y8" s="54" t="s">
        <v>100</v>
      </c>
      <c r="Z8" s="55"/>
      <c r="AA8" s="55"/>
      <c r="AB8" s="55"/>
      <c r="AC8" s="55"/>
      <c r="AD8" s="56"/>
    </row>
    <row r="9" spans="1:32" s="2" customFormat="1" ht="24" customHeight="1" thickBot="1" x14ac:dyDescent="0.25">
      <c r="A9" s="40"/>
      <c r="B9" s="41"/>
      <c r="C9" s="41"/>
      <c r="D9" s="41"/>
      <c r="E9" s="41"/>
      <c r="F9" s="41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3"/>
    </row>
    <row r="10" spans="1:32" ht="18" customHeight="1" x14ac:dyDescent="0.2">
      <c r="A10" s="44" t="s">
        <v>37</v>
      </c>
      <c r="B10" s="51" t="s">
        <v>38</v>
      </c>
      <c r="C10" s="59" t="s">
        <v>53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 t="s">
        <v>8</v>
      </c>
      <c r="AB10" s="59" t="s">
        <v>30</v>
      </c>
      <c r="AC10" s="59"/>
      <c r="AD10" s="76" t="s">
        <v>9</v>
      </c>
    </row>
    <row r="11" spans="1:32" ht="37.5" customHeight="1" x14ac:dyDescent="0.2">
      <c r="A11" s="45"/>
      <c r="B11" s="52"/>
      <c r="C11" s="49" t="s">
        <v>17</v>
      </c>
      <c r="D11" s="50"/>
      <c r="E11" s="49" t="s">
        <v>18</v>
      </c>
      <c r="F11" s="50"/>
      <c r="G11" s="49" t="s">
        <v>19</v>
      </c>
      <c r="H11" s="50"/>
      <c r="I11" s="49" t="s">
        <v>20</v>
      </c>
      <c r="J11" s="50"/>
      <c r="K11" s="49" t="s">
        <v>21</v>
      </c>
      <c r="L11" s="50"/>
      <c r="M11" s="49" t="s">
        <v>22</v>
      </c>
      <c r="N11" s="50"/>
      <c r="O11" s="49" t="s">
        <v>12</v>
      </c>
      <c r="P11" s="50"/>
      <c r="Q11" s="49" t="s">
        <v>13</v>
      </c>
      <c r="R11" s="50"/>
      <c r="S11" s="49" t="s">
        <v>14</v>
      </c>
      <c r="T11" s="50"/>
      <c r="U11" s="49" t="s">
        <v>15</v>
      </c>
      <c r="V11" s="50"/>
      <c r="W11" s="49" t="s">
        <v>16</v>
      </c>
      <c r="X11" s="50"/>
      <c r="Y11" s="49" t="s">
        <v>23</v>
      </c>
      <c r="Z11" s="50"/>
      <c r="AA11" s="74"/>
      <c r="AB11" s="47" t="s">
        <v>34</v>
      </c>
      <c r="AC11" s="47" t="s">
        <v>31</v>
      </c>
      <c r="AD11" s="77"/>
    </row>
    <row r="12" spans="1:32" ht="30" customHeight="1" x14ac:dyDescent="0.2">
      <c r="A12" s="46"/>
      <c r="B12" s="53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74"/>
      <c r="AB12" s="47"/>
      <c r="AC12" s="47"/>
      <c r="AD12" s="77"/>
    </row>
    <row r="13" spans="1:32" ht="51.75" customHeight="1" x14ac:dyDescent="0.2">
      <c r="A13" s="57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58"/>
      <c r="B14" s="21" t="s">
        <v>73</v>
      </c>
      <c r="C14" s="22">
        <v>1</v>
      </c>
      <c r="D14" s="22">
        <v>1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 t="s">
        <v>29</v>
      </c>
      <c r="AD14" s="9"/>
      <c r="AE14" s="16"/>
    </row>
    <row r="15" spans="1:32" ht="82.5" customHeight="1" x14ac:dyDescent="0.2">
      <c r="A15" s="58"/>
      <c r="B15" s="21" t="s">
        <v>113</v>
      </c>
      <c r="C15" s="22"/>
      <c r="D15" s="22"/>
      <c r="E15" s="22">
        <v>1</v>
      </c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58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customHeight="1" x14ac:dyDescent="0.2">
      <c r="A17" s="58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58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58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customHeight="1" x14ac:dyDescent="0.2">
      <c r="A20" s="58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customHeight="1" x14ac:dyDescent="0.2">
      <c r="A21" s="58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customHeight="1" x14ac:dyDescent="0.2">
      <c r="A22" s="58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customHeight="1" x14ac:dyDescent="0.2">
      <c r="A23" s="58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58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58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customHeight="1" x14ac:dyDescent="0.2">
      <c r="A26" s="58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customHeight="1" x14ac:dyDescent="0.2">
      <c r="A27" s="58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48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customHeight="1" x14ac:dyDescent="0.2">
      <c r="A29" s="48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48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48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48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48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/>
      <c r="K33" s="22">
        <v>1</v>
      </c>
      <c r="L33" s="22"/>
      <c r="M33" s="22">
        <v>1</v>
      </c>
      <c r="N33" s="22"/>
      <c r="O33" s="22">
        <v>1</v>
      </c>
      <c r="P33" s="22"/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48"/>
      <c r="B34" s="21" t="s">
        <v>82</v>
      </c>
      <c r="C34" s="22"/>
      <c r="D34" s="22"/>
      <c r="E34" s="22">
        <v>1</v>
      </c>
      <c r="F34" s="22">
        <v>1</v>
      </c>
      <c r="G34" s="22"/>
      <c r="H34" s="22"/>
      <c r="I34" s="22"/>
      <c r="J34" s="22"/>
      <c r="K34" s="22">
        <v>1</v>
      </c>
      <c r="L34" s="22"/>
      <c r="M34" s="22"/>
      <c r="N34" s="22"/>
      <c r="O34" s="22"/>
      <c r="P34" s="22"/>
      <c r="Q34" s="22">
        <v>1</v>
      </c>
      <c r="R34" s="22"/>
      <c r="S34" s="22"/>
      <c r="T34" s="22"/>
      <c r="U34" s="22"/>
      <c r="V34" s="22"/>
      <c r="W34" s="22">
        <v>1</v>
      </c>
      <c r="X34" s="22"/>
      <c r="Y34" s="22"/>
      <c r="Z34" s="22"/>
      <c r="AA34" s="23" t="s">
        <v>83</v>
      </c>
      <c r="AB34" s="6" t="s">
        <v>29</v>
      </c>
      <c r="AC34" s="6"/>
      <c r="AD34" s="8"/>
    </row>
    <row r="35" spans="1:30" ht="68.25" customHeight="1" x14ac:dyDescent="0.2">
      <c r="A35" s="48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48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48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customHeight="1" x14ac:dyDescent="0.2">
      <c r="A38" s="38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customHeight="1" x14ac:dyDescent="0.2">
      <c r="A39" s="38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customHeight="1" x14ac:dyDescent="0.2">
      <c r="A40" s="75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75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72" t="s">
        <v>10</v>
      </c>
      <c r="B42" s="73"/>
      <c r="C42" s="24">
        <f t="shared" ref="C42:Z42" si="0">SUM(C13:C41)</f>
        <v>6</v>
      </c>
      <c r="D42" s="24">
        <f t="shared" si="0"/>
        <v>6</v>
      </c>
      <c r="E42" s="24">
        <f t="shared" si="0"/>
        <v>4</v>
      </c>
      <c r="F42" s="24">
        <f t="shared" si="0"/>
        <v>3</v>
      </c>
      <c r="G42" s="24">
        <f t="shared" si="0"/>
        <v>2</v>
      </c>
      <c r="H42" s="24">
        <f t="shared" si="0"/>
        <v>1</v>
      </c>
      <c r="I42" s="24">
        <f t="shared" si="0"/>
        <v>2</v>
      </c>
      <c r="J42" s="24">
        <f t="shared" si="0"/>
        <v>0</v>
      </c>
      <c r="K42" s="24">
        <f t="shared" si="0"/>
        <v>4</v>
      </c>
      <c r="L42" s="24">
        <f t="shared" si="0"/>
        <v>0</v>
      </c>
      <c r="M42" s="24">
        <f t="shared" si="0"/>
        <v>10</v>
      </c>
      <c r="N42" s="24">
        <f t="shared" si="0"/>
        <v>0</v>
      </c>
      <c r="O42" s="24">
        <f t="shared" si="0"/>
        <v>1</v>
      </c>
      <c r="P42" s="24">
        <f t="shared" si="0"/>
        <v>0</v>
      </c>
      <c r="Q42" s="24">
        <f t="shared" si="0"/>
        <v>3</v>
      </c>
      <c r="R42" s="24">
        <f t="shared" si="0"/>
        <v>0</v>
      </c>
      <c r="S42" s="24">
        <f t="shared" si="0"/>
        <v>1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4</v>
      </c>
      <c r="X42" s="24">
        <f t="shared" si="0"/>
        <v>0</v>
      </c>
      <c r="Y42" s="25">
        <f t="shared" si="0"/>
        <v>7</v>
      </c>
      <c r="Z42" s="24">
        <f t="shared" si="0"/>
        <v>0</v>
      </c>
      <c r="AA42" s="26"/>
      <c r="AB42" s="6"/>
      <c r="AC42" s="6"/>
      <c r="AD42" s="11"/>
    </row>
    <row r="43" spans="1:30" ht="21" customHeight="1" x14ac:dyDescent="0.2">
      <c r="A43" s="83" t="s">
        <v>7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5"/>
      <c r="AB43" s="3"/>
      <c r="AC43" s="3"/>
      <c r="AD43" s="11"/>
    </row>
    <row r="44" spans="1:30" ht="15" customHeight="1" x14ac:dyDescent="0.2">
      <c r="A44" s="86" t="s">
        <v>57</v>
      </c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8"/>
    </row>
    <row r="45" spans="1:30" s="4" customFormat="1" ht="8.25" customHeight="1" thickBot="1" x14ac:dyDescent="0.25">
      <c r="A45" s="94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6"/>
      <c r="AB45" s="96"/>
      <c r="AC45" s="96"/>
      <c r="AD45" s="97"/>
    </row>
    <row r="46" spans="1:30" ht="24" customHeight="1" x14ac:dyDescent="0.2">
      <c r="A46" s="83" t="s">
        <v>71</v>
      </c>
      <c r="B46" s="85"/>
      <c r="C46" s="36" t="s">
        <v>58</v>
      </c>
      <c r="D46" s="37"/>
      <c r="E46" s="36" t="s">
        <v>59</v>
      </c>
      <c r="F46" s="37"/>
      <c r="G46" s="36" t="s">
        <v>60</v>
      </c>
      <c r="H46" s="37"/>
      <c r="I46" s="36" t="s">
        <v>61</v>
      </c>
      <c r="J46" s="37"/>
      <c r="K46" s="36" t="s">
        <v>62</v>
      </c>
      <c r="L46" s="37"/>
      <c r="M46" s="36" t="s">
        <v>63</v>
      </c>
      <c r="N46" s="37"/>
      <c r="O46" s="36" t="s">
        <v>64</v>
      </c>
      <c r="P46" s="37"/>
      <c r="Q46" s="36" t="s">
        <v>65</v>
      </c>
      <c r="R46" s="37"/>
      <c r="S46" s="36" t="s">
        <v>66</v>
      </c>
      <c r="T46" s="37"/>
      <c r="U46" s="36" t="s">
        <v>67</v>
      </c>
      <c r="V46" s="37"/>
      <c r="W46" s="36" t="s">
        <v>68</v>
      </c>
      <c r="X46" s="37"/>
      <c r="Y46" s="36" t="s">
        <v>69</v>
      </c>
      <c r="Z46" s="62"/>
      <c r="AA46" s="33" t="s">
        <v>4</v>
      </c>
      <c r="AB46" s="34"/>
      <c r="AC46" s="34"/>
      <c r="AD46" s="35"/>
    </row>
    <row r="47" spans="1:30" ht="23.1" customHeight="1" thickBot="1" x14ac:dyDescent="0.25">
      <c r="A47" s="92" t="s">
        <v>11</v>
      </c>
      <c r="B47" s="93"/>
      <c r="C47" s="13">
        <f>SUM(C42)</f>
        <v>6</v>
      </c>
      <c r="D47" s="13">
        <f t="shared" ref="D47:Z47" si="1">D42</f>
        <v>6</v>
      </c>
      <c r="E47" s="13">
        <f t="shared" si="1"/>
        <v>4</v>
      </c>
      <c r="F47" s="13">
        <f t="shared" si="1"/>
        <v>3</v>
      </c>
      <c r="G47" s="13">
        <f t="shared" si="1"/>
        <v>2</v>
      </c>
      <c r="H47" s="13">
        <f t="shared" si="1"/>
        <v>1</v>
      </c>
      <c r="I47" s="13">
        <f t="shared" si="1"/>
        <v>2</v>
      </c>
      <c r="J47" s="13">
        <f t="shared" si="1"/>
        <v>0</v>
      </c>
      <c r="K47" s="13">
        <f t="shared" si="1"/>
        <v>4</v>
      </c>
      <c r="L47" s="13">
        <f t="shared" si="1"/>
        <v>0</v>
      </c>
      <c r="M47" s="13">
        <f t="shared" si="1"/>
        <v>10</v>
      </c>
      <c r="N47" s="13">
        <f t="shared" si="1"/>
        <v>0</v>
      </c>
      <c r="O47" s="13">
        <f t="shared" si="1"/>
        <v>1</v>
      </c>
      <c r="P47" s="13">
        <f t="shared" si="1"/>
        <v>0</v>
      </c>
      <c r="Q47" s="13">
        <f t="shared" si="1"/>
        <v>3</v>
      </c>
      <c r="R47" s="13">
        <f t="shared" si="1"/>
        <v>0</v>
      </c>
      <c r="S47" s="13">
        <f t="shared" si="1"/>
        <v>1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4</v>
      </c>
      <c r="X47" s="13">
        <f t="shared" si="1"/>
        <v>0</v>
      </c>
      <c r="Y47" s="13">
        <f t="shared" si="1"/>
        <v>7</v>
      </c>
      <c r="Z47" s="14">
        <f t="shared" si="1"/>
        <v>0</v>
      </c>
      <c r="AA47" s="82">
        <f>C47+E47+G47+I47+K47+M47+O47+Q47+S47+U47+W47+Y47</f>
        <v>47</v>
      </c>
      <c r="AB47" s="60">
        <f>D47+F47+H47+J47+L47+N47+P47+R47+T47+V47+X47+Z47</f>
        <v>10</v>
      </c>
      <c r="AC47" s="60"/>
      <c r="AD47" s="28">
        <f>AB47/AA47</f>
        <v>0.21276595744680851</v>
      </c>
    </row>
    <row r="48" spans="1:30" ht="18" customHeight="1" x14ac:dyDescent="0.2">
      <c r="A48" s="92" t="s">
        <v>70</v>
      </c>
      <c r="B48" s="93"/>
      <c r="C48" s="80">
        <f>D47/C47</f>
        <v>1</v>
      </c>
      <c r="D48" s="81"/>
      <c r="E48" s="80">
        <f>F47/E47</f>
        <v>0.75</v>
      </c>
      <c r="F48" s="81"/>
      <c r="G48" s="80">
        <f>H47/G47</f>
        <v>0.5</v>
      </c>
      <c r="H48" s="81"/>
      <c r="I48" s="80">
        <f>J47/I47</f>
        <v>0</v>
      </c>
      <c r="J48" s="81"/>
      <c r="K48" s="80">
        <f>L47/K47</f>
        <v>0</v>
      </c>
      <c r="L48" s="81"/>
      <c r="M48" s="80">
        <f>N47/M47</f>
        <v>0</v>
      </c>
      <c r="N48" s="81"/>
      <c r="O48" s="80">
        <f>P47/O47</f>
        <v>0</v>
      </c>
      <c r="P48" s="81"/>
      <c r="Q48" s="80">
        <f>R47/Q47</f>
        <v>0</v>
      </c>
      <c r="R48" s="81"/>
      <c r="S48" s="80">
        <f>T47/S47</f>
        <v>0</v>
      </c>
      <c r="T48" s="81"/>
      <c r="U48" s="80">
        <f>V47/U47</f>
        <v>0</v>
      </c>
      <c r="V48" s="81"/>
      <c r="W48" s="80">
        <f>X47/W47</f>
        <v>0</v>
      </c>
      <c r="X48" s="81"/>
      <c r="Y48" s="80">
        <f>Z47/Y47</f>
        <v>0</v>
      </c>
      <c r="Z48" s="98"/>
      <c r="AA48" s="82"/>
      <c r="AB48" s="60"/>
      <c r="AC48" s="61"/>
      <c r="AD48" s="29" t="s">
        <v>5</v>
      </c>
    </row>
    <row r="49" spans="1:30" ht="23.25" customHeight="1" thickBot="1" x14ac:dyDescent="0.25">
      <c r="A49" s="112" t="s">
        <v>24</v>
      </c>
      <c r="B49" s="113"/>
      <c r="C49" s="78">
        <v>0.9</v>
      </c>
      <c r="D49" s="79"/>
      <c r="E49" s="78">
        <v>0.9</v>
      </c>
      <c r="F49" s="79"/>
      <c r="G49" s="78">
        <v>0.9</v>
      </c>
      <c r="H49" s="79"/>
      <c r="I49" s="78">
        <v>0.9</v>
      </c>
      <c r="J49" s="79"/>
      <c r="K49" s="78">
        <v>0.9</v>
      </c>
      <c r="L49" s="79"/>
      <c r="M49" s="78">
        <v>0.9</v>
      </c>
      <c r="N49" s="79"/>
      <c r="O49" s="78">
        <v>0.9</v>
      </c>
      <c r="P49" s="79"/>
      <c r="Q49" s="78">
        <v>0.9</v>
      </c>
      <c r="R49" s="79"/>
      <c r="S49" s="78">
        <v>0.9</v>
      </c>
      <c r="T49" s="79"/>
      <c r="U49" s="78">
        <v>0.9</v>
      </c>
      <c r="V49" s="79"/>
      <c r="W49" s="78">
        <v>0.9</v>
      </c>
      <c r="X49" s="79"/>
      <c r="Y49" s="78">
        <v>0.9</v>
      </c>
      <c r="Z49" s="103"/>
      <c r="AA49" s="15" t="s">
        <v>25</v>
      </c>
      <c r="AB49" s="101" t="s">
        <v>26</v>
      </c>
      <c r="AC49" s="102"/>
      <c r="AD49" s="30">
        <v>0.9</v>
      </c>
    </row>
    <row r="50" spans="1:30" x14ac:dyDescent="0.2">
      <c r="A50" s="10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6"/>
      <c r="AB50" s="106"/>
      <c r="AC50" s="106"/>
      <c r="AD50" s="107"/>
    </row>
    <row r="51" spans="1:30" x14ac:dyDescent="0.2">
      <c r="A51" s="108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7"/>
    </row>
    <row r="52" spans="1:30" x14ac:dyDescent="0.2">
      <c r="A52" s="108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7"/>
    </row>
    <row r="53" spans="1:30" x14ac:dyDescent="0.2">
      <c r="A53" s="108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7"/>
    </row>
    <row r="54" spans="1:30" x14ac:dyDescent="0.2">
      <c r="A54" s="108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7"/>
    </row>
    <row r="55" spans="1:30" x14ac:dyDescent="0.2">
      <c r="A55" s="108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7"/>
    </row>
    <row r="56" spans="1:30" x14ac:dyDescent="0.2">
      <c r="A56" s="108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7"/>
    </row>
    <row r="57" spans="1:30" x14ac:dyDescent="0.2">
      <c r="A57" s="108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7"/>
    </row>
    <row r="58" spans="1:30" x14ac:dyDescent="0.2">
      <c r="A58" s="108"/>
      <c r="B58" s="106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7"/>
    </row>
    <row r="59" spans="1:30" x14ac:dyDescent="0.2">
      <c r="A59" s="108"/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7"/>
    </row>
    <row r="60" spans="1:30" x14ac:dyDescent="0.2">
      <c r="A60" s="108"/>
      <c r="B60" s="106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7"/>
    </row>
    <row r="61" spans="1:30" x14ac:dyDescent="0.2">
      <c r="A61" s="108"/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7"/>
    </row>
    <row r="62" spans="1:30" x14ac:dyDescent="0.2">
      <c r="A62" s="108"/>
      <c r="B62" s="106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7"/>
    </row>
    <row r="63" spans="1:30" x14ac:dyDescent="0.2">
      <c r="A63" s="108"/>
      <c r="B63" s="106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7"/>
    </row>
    <row r="64" spans="1:30" x14ac:dyDescent="0.2">
      <c r="A64" s="108"/>
      <c r="B64" s="106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7"/>
    </row>
    <row r="65" spans="1:30" x14ac:dyDescent="0.2">
      <c r="A65" s="108"/>
      <c r="B65" s="106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7"/>
    </row>
    <row r="66" spans="1:30" x14ac:dyDescent="0.2">
      <c r="A66" s="108"/>
      <c r="B66" s="106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7"/>
    </row>
    <row r="67" spans="1:30" ht="11.25" customHeight="1" thickBot="1" x14ac:dyDescent="0.25">
      <c r="A67" s="109"/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1"/>
    </row>
    <row r="68" spans="1:30" s="18" customFormat="1" ht="26.25" customHeight="1" x14ac:dyDescent="0.2">
      <c r="A68" s="99" t="s">
        <v>80</v>
      </c>
      <c r="B68" s="100"/>
      <c r="C68" s="100" t="s">
        <v>46</v>
      </c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 t="s">
        <v>47</v>
      </c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 t="s">
        <v>48</v>
      </c>
      <c r="AB68" s="100"/>
      <c r="AC68" s="100"/>
      <c r="AD68" s="116"/>
    </row>
    <row r="69" spans="1:30" s="17" customFormat="1" ht="121.5" customHeight="1" thickBot="1" x14ac:dyDescent="0.3">
      <c r="A69" s="114" t="s">
        <v>102</v>
      </c>
      <c r="B69" s="115"/>
      <c r="C69" s="117" t="s">
        <v>88</v>
      </c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7" t="s">
        <v>87</v>
      </c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7" t="s">
        <v>89</v>
      </c>
      <c r="AB69" s="118"/>
      <c r="AC69" s="118"/>
      <c r="AD69" s="119"/>
    </row>
  </sheetData>
  <autoFilter ref="A11:AF44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C1:AA1"/>
    <mergeCell ref="C2:AA3"/>
    <mergeCell ref="AB1:AD1"/>
    <mergeCell ref="AB2:AD2"/>
    <mergeCell ref="AB3:AD3"/>
    <mergeCell ref="A69:B69"/>
    <mergeCell ref="AA68:AD68"/>
    <mergeCell ref="O68:Z68"/>
    <mergeCell ref="C68:N68"/>
    <mergeCell ref="C69:N69"/>
    <mergeCell ref="O69:Z69"/>
    <mergeCell ref="AA69:AD69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W11:X11"/>
    <mergeCell ref="Y11:Z11"/>
    <mergeCell ref="E11:F11"/>
    <mergeCell ref="K11:L11"/>
    <mergeCell ref="M11:N11"/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</mergeCells>
  <conditionalFormatting sqref="C48:C49 E48:E49 G48:G49 K48:K49 O48:O49 S48:S49 W48:W49 I48:I49 M48:M49 Q48:Q49 U48:U49 Y48:Y49 AB13:AC15 AB17:AC17 AB35:AC42 AB20:AC28 C13:Z42 AB30:AC32">
    <cfRule type="cellIs" dxfId="47" priority="395" operator="between">
      <formula>1</formula>
      <formula>9</formula>
    </cfRule>
    <cfRule type="cellIs" dxfId="46" priority="396" stopIfTrue="1" operator="equal">
      <formula>0</formula>
    </cfRule>
    <cfRule type="cellIs" dxfId="45" priority="397" stopIfTrue="1" operator="equal">
      <formula>0</formula>
    </cfRule>
    <cfRule type="cellIs" dxfId="44" priority="398" stopIfTrue="1" operator="equal">
      <formula>0</formula>
    </cfRule>
    <cfRule type="cellIs" dxfId="43" priority="399" stopIfTrue="1" operator="equal">
      <formula>0</formula>
    </cfRule>
    <cfRule type="cellIs" dxfId="42" priority="400" stopIfTrue="1" operator="equal">
      <formula>1</formula>
    </cfRule>
  </conditionalFormatting>
  <conditionalFormatting sqref="C48:C49 E48:E49 G48:G49 K48:K49 O48:O49 S48:S49 W48:W49 I48:I49 M48:M49 Q48:Q49 U48:U49 Y48:Y49 AB13:AC15 AB17:AC17 AB35:AC42 AB20:AC28 C13:Z42 AB30:AC32">
    <cfRule type="cellIs" dxfId="41" priority="394" operator="equal">
      <formula>0</formula>
    </cfRule>
  </conditionalFormatting>
  <conditionalFormatting sqref="C48:C49 E48:E49 G48:G49 K48:K49 O48:O49 S48:S49 W48:W49 I48:I49 M48:M49 Q48:Q49 U48:U49 Y48:Y49 AB13:AC15 AB17:AC17 AB35:AC42 AB20:AC28 C13:Z42 AB30:AC32">
    <cfRule type="cellIs" dxfId="40" priority="393" stopIfTrue="1" operator="equal">
      <formula>0</formula>
    </cfRule>
  </conditionalFormatting>
  <conditionalFormatting sqref="AB16:AC16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16:AC16">
    <cfRule type="cellIs" dxfId="33" priority="34" operator="equal">
      <formula>0</formula>
    </cfRule>
  </conditionalFormatting>
  <conditionalFormatting sqref="AB16:AC16">
    <cfRule type="cellIs" dxfId="32" priority="33" stopIfTrue="1" operator="equal">
      <formula>0</formula>
    </cfRule>
  </conditionalFormatting>
  <conditionalFormatting sqref="AB18:AC19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8:AC19">
    <cfRule type="cellIs" dxfId="25" priority="26" operator="equal">
      <formula>0</formula>
    </cfRule>
  </conditionalFormatting>
  <conditionalFormatting sqref="AB18:AC19">
    <cfRule type="cellIs" dxfId="24" priority="25" stopIfTrue="1" operator="equal">
      <formula>0</formula>
    </cfRule>
  </conditionalFormatting>
  <conditionalFormatting sqref="AB33:AC33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33:AC33">
    <cfRule type="cellIs" dxfId="17" priority="18" operator="equal">
      <formula>0</formula>
    </cfRule>
  </conditionalFormatting>
  <conditionalFormatting sqref="AB33:AC33">
    <cfRule type="cellIs" dxfId="16" priority="17" stopIfTrue="1" operator="equal">
      <formula>0</formula>
    </cfRule>
  </conditionalFormatting>
  <conditionalFormatting sqref="AB34:AC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34:AC34">
    <cfRule type="cellIs" dxfId="9" priority="10" operator="equal">
      <formula>0</formula>
    </cfRule>
  </conditionalFormatting>
  <conditionalFormatting sqref="AB34:AC34">
    <cfRule type="cellIs" dxfId="8" priority="9" stopIfTrue="1" operator="equal">
      <formula>0</formula>
    </cfRule>
  </conditionalFormatting>
  <conditionalFormatting sqref="AB29:AC29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9:AC29">
    <cfRule type="cellIs" dxfId="1" priority="2" operator="equal">
      <formula>0</formula>
    </cfRule>
  </conditionalFormatting>
  <conditionalFormatting sqref="AB29:AC29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</cp:lastModifiedBy>
  <cp:lastPrinted>2023-02-11T19:49:14Z</cp:lastPrinted>
  <dcterms:created xsi:type="dcterms:W3CDTF">2008-10-02T15:12:04Z</dcterms:created>
  <dcterms:modified xsi:type="dcterms:W3CDTF">2023-03-25T03:49:08Z</dcterms:modified>
</cp:coreProperties>
</file>