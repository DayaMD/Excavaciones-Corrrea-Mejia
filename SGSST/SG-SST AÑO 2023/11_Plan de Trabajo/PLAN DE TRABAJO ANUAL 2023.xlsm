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F:\dayana\EXCAVACIONES CORREA MEJIA S.A.S\SGSST\SG-SST AÑO 2023\11_Plan de Trabajo\"/>
    </mc:Choice>
  </mc:AlternateContent>
  <xr:revisionPtr revIDLastSave="0" documentId="13_ncr:1_{6BD1B566-1E45-46EE-9892-6DD658CBABFB}" xr6:coauthVersionLast="43" xr6:coauthVersionMax="43" xr10:uidLastSave="{00000000-0000-0000-0000-000000000000}"/>
  <bookViews>
    <workbookView xWindow="-120" yWindow="-120" windowWidth="20730" windowHeight="11160" tabRatio="584" xr2:uid="{00000000-000D-0000-FFFF-FFFF00000000}"/>
  </bookViews>
  <sheets>
    <sheet name=" Plan de Trabajo SST" sheetId="5" r:id="rId1"/>
  </sheets>
  <definedNames>
    <definedName name="_xlnm._FilterDatabase" localSheetId="0" hidden="1">' Plan de Trabajo SST'!$A$11:$AF$44</definedName>
    <definedName name="_xlnm.Print_Area" localSheetId="0">' Plan de Trabajo SST'!$A$1:$AD$69</definedName>
    <definedName name="_xlnm.Print_Titles" localSheetId="0">' Plan de Trabajo SST'!$10:$12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2" i="5" l="1"/>
  <c r="K42" i="5"/>
  <c r="C47" i="5" l="1"/>
  <c r="Z42" i="5"/>
  <c r="Z47" i="5" s="1"/>
  <c r="Y42" i="5"/>
  <c r="Y47" i="5" s="1"/>
  <c r="X42" i="5"/>
  <c r="X47" i="5" s="1"/>
  <c r="W42" i="5"/>
  <c r="W47" i="5" s="1"/>
  <c r="V42" i="5"/>
  <c r="V47" i="5" s="1"/>
  <c r="U42" i="5"/>
  <c r="U47" i="5" s="1"/>
  <c r="T42" i="5"/>
  <c r="T47" i="5" s="1"/>
  <c r="S42" i="5"/>
  <c r="S47" i="5" s="1"/>
  <c r="R42" i="5"/>
  <c r="R47" i="5" s="1"/>
  <c r="Q42" i="5"/>
  <c r="Q47" i="5" s="1"/>
  <c r="P42" i="5"/>
  <c r="P47" i="5" s="1"/>
  <c r="O42" i="5"/>
  <c r="O47" i="5" s="1"/>
  <c r="N42" i="5"/>
  <c r="N47" i="5" s="1"/>
  <c r="M42" i="5"/>
  <c r="M47" i="5" s="1"/>
  <c r="L42" i="5"/>
  <c r="L47" i="5" s="1"/>
  <c r="K47" i="5"/>
  <c r="J42" i="5"/>
  <c r="J47" i="5" s="1"/>
  <c r="I42" i="5"/>
  <c r="I47" i="5" s="1"/>
  <c r="H42" i="5"/>
  <c r="H47" i="5" s="1"/>
  <c r="G42" i="5"/>
  <c r="G47" i="5" s="1"/>
  <c r="F42" i="5"/>
  <c r="F47" i="5" s="1"/>
  <c r="E42" i="5"/>
  <c r="E47" i="5" s="1"/>
  <c r="D42" i="5"/>
  <c r="D47" i="5" s="1"/>
  <c r="G48" i="5" l="1"/>
  <c r="O48" i="5"/>
  <c r="E48" i="5"/>
  <c r="K48" i="5"/>
  <c r="Q48" i="5"/>
  <c r="W48" i="5"/>
  <c r="S48" i="5"/>
  <c r="Y48" i="5"/>
  <c r="U48" i="5"/>
  <c r="I48" i="5"/>
  <c r="M48" i="5"/>
  <c r="AB47" i="5"/>
  <c r="C48" i="5"/>
  <c r="AA47" i="5"/>
  <c r="AD47" i="5" l="1"/>
</calcChain>
</file>

<file path=xl/sharedStrings.xml><?xml version="1.0" encoding="utf-8"?>
<sst xmlns="http://schemas.openxmlformats.org/spreadsheetml/2006/main" count="188" uniqueCount="114">
  <si>
    <t>OBJETIVO</t>
  </si>
  <si>
    <t>INDICADOR</t>
  </si>
  <si>
    <t>P</t>
  </si>
  <si>
    <t>E</t>
  </si>
  <si>
    <t>CUMPLIMIENTO ANUAL</t>
  </si>
  <si>
    <t>META</t>
  </si>
  <si>
    <t>(Nº de Actividades Ejecutadas / Nº de Actividades Programadas) x 100</t>
  </si>
  <si>
    <t>% COBERTURA DEL PROGRAMA</t>
  </si>
  <si>
    <t xml:space="preserve">Responsable (s) </t>
  </si>
  <si>
    <t>OBSERVACIONES</t>
  </si>
  <si>
    <t>Total Actividades</t>
  </si>
  <si>
    <t>Actividades Programadas en el Mes</t>
  </si>
  <si>
    <t>JULIO</t>
  </si>
  <si>
    <t>AGOSTO</t>
  </si>
  <si>
    <t>SEPTIEMBRE</t>
  </si>
  <si>
    <t>OCTUBRE</t>
  </si>
  <si>
    <t>NOVIEMBRE</t>
  </si>
  <si>
    <t>ENERO</t>
  </si>
  <si>
    <t>FEBRERO</t>
  </si>
  <si>
    <t>MARZO</t>
  </si>
  <si>
    <t>ABRIL</t>
  </si>
  <si>
    <t>MAYO</t>
  </si>
  <si>
    <t>JUNIO</t>
  </si>
  <si>
    <t>DICIEMBRE</t>
  </si>
  <si>
    <t>% Cumplimiento Meta en el Mes</t>
  </si>
  <si>
    <t>Programado</t>
  </si>
  <si>
    <t>Ejecutado</t>
  </si>
  <si>
    <t>II HACER</t>
  </si>
  <si>
    <t>III VERIFICAR</t>
  </si>
  <si>
    <t>x</t>
  </si>
  <si>
    <t>RECURSOS</t>
  </si>
  <si>
    <t>Financieros</t>
  </si>
  <si>
    <t>IV ACTUAR</t>
  </si>
  <si>
    <t>I PLANEAR</t>
  </si>
  <si>
    <t xml:space="preserve">Humano </t>
  </si>
  <si>
    <t xml:space="preserve">Auditoria anual </t>
  </si>
  <si>
    <t>Seguimiento a ausentismo laboral</t>
  </si>
  <si>
    <t>Ciclo PHVA</t>
  </si>
  <si>
    <t>ACTIVIDADES</t>
  </si>
  <si>
    <t>Externo</t>
  </si>
  <si>
    <t>Gerencia</t>
  </si>
  <si>
    <t>Cumplimiento del 90% de las actividades planeadas</t>
  </si>
  <si>
    <t>Informe de rendición de cuentas sobre desempeño SST</t>
  </si>
  <si>
    <t>Análisis de accidentalidad</t>
  </si>
  <si>
    <t>Análisis de indicadores</t>
  </si>
  <si>
    <t>Revisión anual por la Gerencia al SST</t>
  </si>
  <si>
    <t>ELABORO</t>
  </si>
  <si>
    <t>REVISO</t>
  </si>
  <si>
    <t>APROBO</t>
  </si>
  <si>
    <t xml:space="preserve">PLAN DE TRABAJO ANUAL DE SEGURIDAD Y SALUD EN EL TRABAJO </t>
  </si>
  <si>
    <t xml:space="preserve">Responsable del SG SST </t>
  </si>
  <si>
    <t>Responsable del SG SST</t>
  </si>
  <si>
    <t>PERIODO EVALUADO</t>
  </si>
  <si>
    <t>CRONOGRAMA</t>
  </si>
  <si>
    <t>Revision y actualizacion de todos los procedimientos desarrollados en el diseño del SG SST</t>
  </si>
  <si>
    <t>inspección de botiquín y extintores</t>
  </si>
  <si>
    <t>Realizar exámenes medico ocupacionales periodico</t>
  </si>
  <si>
    <t>MONITOREO DEL PLAN DE TRABAJO ANUAL /VIGENCIA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</si>
  <si>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</si>
  <si>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</si>
  <si>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</si>
  <si>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</si>
  <si>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</si>
  <si>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</si>
  <si>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</si>
  <si>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</si>
  <si>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</si>
  <si>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</si>
  <si>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</si>
  <si>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</si>
  <si>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% Ejecución Mensual</t>
  </si>
  <si>
    <t>1. CUMPLIMIENTO DEL PLAN DE TRABAJO ANUAL</t>
  </si>
  <si>
    <t>Implementar, Documentar  y ejecutar las actividades que se contemplen en el Sistema de Gestión de Seguridad y Salud en el Trabajo para dar cumpimiento a las metas y objetivos de conformidad con la normatividad legal vigente.</t>
  </si>
  <si>
    <t xml:space="preserve">Revisión y actualización (si lo requiere) de la Política de SST. </t>
  </si>
  <si>
    <t>Revisión y actualización (si lo requiere) de la Matriz de identificación de peligros, evaluación y valoración de los riesgos.</t>
  </si>
  <si>
    <t>Revisión y actualización (si lo requiere) de la Matriz Legal</t>
  </si>
  <si>
    <t xml:space="preserve">Se incluyen las capacitaciones para los COMITES. </t>
  </si>
  <si>
    <t>Revisión Plan de emergencia</t>
  </si>
  <si>
    <t>Implementar actividades para prevenir riesgo psicosocial</t>
  </si>
  <si>
    <t>Revisión de las medida correctivas preventivas y de mejora implementadas</t>
  </si>
  <si>
    <t>FECHA DE ELABORACIÓN</t>
  </si>
  <si>
    <t>Programar reuniones de Comité de Convivencia</t>
  </si>
  <si>
    <t>Realizar reuniones del Comité de Convivencia</t>
  </si>
  <si>
    <t>Responsable del SG SST/Comité de Convivencia</t>
  </si>
  <si>
    <t>SISTEMA DE GESTIÓN DE LA SEGURIDAD Y SALUD EN EL TRABAJO</t>
  </si>
  <si>
    <t>Fecha: 24/01/2020</t>
  </si>
  <si>
    <t>Versión 001</t>
  </si>
  <si>
    <t>Nombre:  Myriam Baron
Cargo: Abogada especialista en SST
Licencia: Resolucion 2403 de 2016.</t>
  </si>
  <si>
    <t>Nombre: Dayana Madroñero Diaz
Cargo: Profesional en SST 
Licencia: Resolución  1554 de 2020</t>
  </si>
  <si>
    <t>Nombre: Lina Maria Correa
Cargo: Gerente</t>
  </si>
  <si>
    <t>Página1 de 2</t>
  </si>
  <si>
    <t>Programar reuniones de COPASST</t>
  </si>
  <si>
    <t>Realizar reuniones del COPASST</t>
  </si>
  <si>
    <t>Responsable del SG SST/COPASST</t>
  </si>
  <si>
    <t>Gerencia, COPASST</t>
  </si>
  <si>
    <t>COPASST</t>
  </si>
  <si>
    <t>Gerencia / COPASST/ Responsable del SG SST</t>
  </si>
  <si>
    <t>Gerencia, Responsable del SG SST/COPASST</t>
  </si>
  <si>
    <t xml:space="preserve">Se construye en la primera reunión del COPASST en el año 2022, y se socializa. </t>
  </si>
  <si>
    <t xml:space="preserve">Se construye en la primera reunión del comite en el año 2022, y se socializa. </t>
  </si>
  <si>
    <t>ENERO - DICIEMBRE DEL AÑO 2023</t>
  </si>
  <si>
    <t>Elaboración Plan de Trabajo para el año 2023</t>
  </si>
  <si>
    <t>29 de diciembre del 2022</t>
  </si>
  <si>
    <t xml:space="preserve">Socializar Plan de trabajo vigencia 2023 al COPASST </t>
  </si>
  <si>
    <t>Realizar cronograma de capacitación para la vigencia año 2023</t>
  </si>
  <si>
    <t xml:space="preserve">Realizar reinducción a los trabajadores </t>
  </si>
  <si>
    <t>Programar curso de 50 horas de SST al COPASST</t>
  </si>
  <si>
    <t>Realizar matriz de retencion documental del SG-SST</t>
  </si>
  <si>
    <t>Realizar evaluación de proveedores</t>
  </si>
  <si>
    <t>Solicitar al proveedor de examenes medicos ocupacionales certificado de custodia de historias clinicas</t>
  </si>
  <si>
    <t>Evaluar si aplica en la empresa, la realizacion de mediciones ambientales, quimicos, fisicos y biologicos</t>
  </si>
  <si>
    <t>Responsable del SG-SST</t>
  </si>
  <si>
    <t>X</t>
  </si>
  <si>
    <t>Elaboración del presupuesto anual vigencia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</si>
</sst>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€-2]* #,##0.00_-;\-[$€-2]* #,##0.00_-;_-[$€-2]* &quot;-&quot;??_-"/>
  </numFmts>
  <fonts count="25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Arial Narrow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color theme="2" tint="-0.89999084444715716"/>
      <name val="Arial"/>
      <family val="2"/>
    </font>
    <font>
      <b/>
      <sz val="12"/>
      <color theme="2" tint="-0.89999084444715716"/>
      <name val="Arial"/>
      <family val="2"/>
    </font>
    <font>
      <b/>
      <sz val="12"/>
      <color theme="1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theme="0" tint="-0.24994659260841701"/>
      </left>
      <right style="medium">
        <color indexed="64"/>
      </right>
      <top style="medium">
        <color theme="0" tint="-0.249977111117893"/>
      </top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theme="0" tint="-0.249977111117893"/>
      </bottom>
      <diagonal/>
    </border>
    <border>
      <left/>
      <right/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indexed="64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medium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medium">
        <color indexed="64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thin">
        <color theme="0" tint="-0.249977111117893"/>
      </bottom>
      <diagonal/>
    </border>
    <border>
      <left/>
      <right/>
      <top style="medium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249977111117893"/>
      </right>
      <top/>
      <bottom style="thin">
        <color theme="0" tint="-0.24994659260841701"/>
      </bottom>
      <diagonal/>
    </border>
  </borders>
  <cellStyleXfs count="3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0" borderId="2" applyNumberFormat="0" applyFill="0" applyAlignment="0" applyProtection="0"/>
    <xf numFmtId="0" fontId="5" fillId="0" borderId="0" applyNumberFormat="0" applyFill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20" borderId="0" applyNumberFormat="0" applyBorder="0" applyAlignment="0" applyProtection="0"/>
    <xf numFmtId="0" fontId="6" fillId="7" borderId="1" applyNumberFormat="0" applyAlignment="0" applyProtection="0"/>
    <xf numFmtId="164" fontId="7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21" borderId="0" applyNumberFormat="0" applyBorder="0" applyAlignment="0" applyProtection="0"/>
    <xf numFmtId="0" fontId="10" fillId="0" borderId="0"/>
    <xf numFmtId="17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16" borderId="3" applyNumberFormat="0" applyAlignment="0" applyProtection="0"/>
    <xf numFmtId="0" fontId="12" fillId="0" borderId="0" applyNumberFormat="0" applyFill="0" applyBorder="0" applyAlignment="0" applyProtection="0"/>
    <xf numFmtId="0" fontId="13" fillId="0" borderId="4" applyNumberFormat="0" applyFill="0" applyAlignment="0" applyProtection="0"/>
  </cellStyleXfs>
  <cellXfs count="123">
    <xf numFmtId="0" fontId="0" fillId="0" borderId="0" xfId="0"/>
    <xf numFmtId="0" fontId="16" fillId="0" borderId="0" xfId="0" applyFont="1"/>
    <xf numFmtId="17" fontId="20" fillId="0" borderId="0" xfId="32" applyFont="1" applyFill="1" applyProtection="1">
      <protection locked="0"/>
    </xf>
    <xf numFmtId="0" fontId="15" fillId="0" borderId="20" xfId="0" applyFont="1" applyFill="1" applyBorder="1" applyAlignment="1">
      <alignment horizontal="center" vertical="center" wrapText="1"/>
    </xf>
    <xf numFmtId="0" fontId="16" fillId="0" borderId="0" xfId="0" applyFont="1" applyFill="1"/>
    <xf numFmtId="0" fontId="16" fillId="0" borderId="0" xfId="0" applyFont="1" applyAlignment="1">
      <alignment horizontal="center"/>
    </xf>
    <xf numFmtId="1" fontId="20" fillId="0" borderId="20" xfId="32" applyNumberFormat="1" applyFont="1" applyFill="1" applyBorder="1" applyAlignment="1" applyProtection="1">
      <alignment horizontal="center" vertical="center"/>
      <protection locked="0"/>
    </xf>
    <xf numFmtId="17" fontId="14" fillId="22" borderId="20" xfId="32" applyFont="1" applyFill="1" applyBorder="1" applyAlignment="1" applyProtection="1">
      <alignment horizontal="center" vertical="center"/>
    </xf>
    <xf numFmtId="0" fontId="16" fillId="0" borderId="21" xfId="0" applyFont="1" applyFill="1" applyBorder="1" applyAlignment="1">
      <alignment vertical="center" wrapText="1"/>
    </xf>
    <xf numFmtId="0" fontId="16" fillId="0" borderId="21" xfId="0" applyFont="1" applyFill="1" applyBorder="1" applyAlignment="1">
      <alignment vertical="center"/>
    </xf>
    <xf numFmtId="0" fontId="16" fillId="0" borderId="21" xfId="0" applyFont="1" applyFill="1" applyBorder="1" applyAlignment="1">
      <alignment horizontal="center" vertical="center" wrapText="1"/>
    </xf>
    <xf numFmtId="0" fontId="16" fillId="0" borderId="21" xfId="0" applyFont="1" applyFill="1" applyBorder="1" applyAlignment="1">
      <alignment horizontal="justify"/>
    </xf>
    <xf numFmtId="17" fontId="14" fillId="0" borderId="20" xfId="32" applyFont="1" applyFill="1" applyBorder="1" applyAlignment="1" applyProtection="1">
      <alignment horizontal="center" vertical="center"/>
    </xf>
    <xf numFmtId="1" fontId="20" fillId="23" borderId="20" xfId="32" applyNumberFormat="1" applyFont="1" applyFill="1" applyBorder="1" applyAlignment="1" applyProtection="1">
      <alignment horizontal="center" vertical="center"/>
      <protection locked="0"/>
    </xf>
    <xf numFmtId="1" fontId="20" fillId="23" borderId="22" xfId="32" applyNumberFormat="1" applyFont="1" applyFill="1" applyBorder="1" applyAlignment="1" applyProtection="1">
      <alignment horizontal="center" vertical="center"/>
      <protection locked="0"/>
    </xf>
    <xf numFmtId="0" fontId="16" fillId="0" borderId="23" xfId="0" applyNumberFormat="1" applyFont="1" applyFill="1" applyBorder="1" applyAlignment="1">
      <alignment horizontal="center" vertical="center" wrapText="1"/>
    </xf>
    <xf numFmtId="0" fontId="21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1" fontId="20" fillId="0" borderId="24" xfId="32" applyNumberFormat="1" applyFont="1" applyFill="1" applyBorder="1" applyAlignment="1" applyProtection="1">
      <alignment horizontal="center" vertical="center"/>
      <protection locked="0"/>
    </xf>
    <xf numFmtId="17" fontId="22" fillId="0" borderId="25" xfId="32" applyFont="1" applyFill="1" applyBorder="1" applyAlignment="1" applyProtection="1">
      <alignment horizontal="center" vertical="center" wrapText="1"/>
      <protection locked="0"/>
    </xf>
    <xf numFmtId="0" fontId="16" fillId="0" borderId="26" xfId="0" applyFont="1" applyFill="1" applyBorder="1" applyAlignment="1">
      <alignment horizontal="left" vertical="center" wrapText="1"/>
    </xf>
    <xf numFmtId="1" fontId="20" fillId="0" borderId="26" xfId="32" applyNumberFormat="1" applyFont="1" applyFill="1" applyBorder="1" applyAlignment="1" applyProtection="1">
      <alignment horizontal="center" vertical="center"/>
      <protection locked="0"/>
    </xf>
    <xf numFmtId="17" fontId="22" fillId="0" borderId="27" xfId="32" applyFont="1" applyFill="1" applyBorder="1" applyAlignment="1" applyProtection="1">
      <alignment horizontal="center" vertical="center" wrapText="1"/>
      <protection locked="0"/>
    </xf>
    <xf numFmtId="1" fontId="20" fillId="0" borderId="28" xfId="32" applyNumberFormat="1" applyFont="1" applyFill="1" applyBorder="1" applyAlignment="1" applyProtection="1">
      <alignment horizontal="center" vertical="center"/>
      <protection locked="0"/>
    </xf>
    <xf numFmtId="1" fontId="20" fillId="22" borderId="28" xfId="32" applyNumberFormat="1" applyFont="1" applyFill="1" applyBorder="1" applyAlignment="1" applyProtection="1">
      <alignment horizontal="center" vertical="center"/>
      <protection locked="0"/>
    </xf>
    <xf numFmtId="17" fontId="23" fillId="0" borderId="29" xfId="32" applyFont="1" applyFill="1" applyBorder="1" applyAlignment="1" applyProtection="1">
      <alignment vertical="center" wrapText="1"/>
      <protection locked="0"/>
    </xf>
    <xf numFmtId="0" fontId="16" fillId="0" borderId="30" xfId="0" applyFont="1" applyFill="1" applyBorder="1" applyAlignment="1">
      <alignment horizontal="left" vertical="center" wrapText="1"/>
    </xf>
    <xf numFmtId="9" fontId="18" fillId="0" borderId="31" xfId="33" applyFont="1" applyFill="1" applyBorder="1" applyAlignment="1">
      <alignment horizontal="center" vertical="center"/>
    </xf>
    <xf numFmtId="9" fontId="15" fillId="0" borderId="32" xfId="33" applyFont="1" applyFill="1" applyBorder="1" applyAlignment="1">
      <alignment horizontal="center" vertical="center"/>
    </xf>
    <xf numFmtId="9" fontId="15" fillId="0" borderId="33" xfId="0" applyNumberFormat="1" applyFont="1" applyFill="1" applyBorder="1" applyAlignment="1">
      <alignment horizontal="center" vertical="center" wrapText="1"/>
    </xf>
    <xf numFmtId="0" fontId="17" fillId="0" borderId="5" xfId="0" applyFont="1" applyBorder="1" applyAlignment="1">
      <alignment vertical="center" wrapText="1"/>
    </xf>
    <xf numFmtId="0" fontId="20" fillId="0" borderId="26" xfId="0" applyFont="1" applyFill="1" applyBorder="1" applyAlignment="1">
      <alignment horizontal="left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/>
    </xf>
    <xf numFmtId="0" fontId="17" fillId="0" borderId="6" xfId="0" applyFont="1" applyBorder="1" applyAlignment="1">
      <alignment horizontal="left" vertical="center" wrapText="1"/>
    </xf>
    <xf numFmtId="0" fontId="19" fillId="0" borderId="7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wrapText="1"/>
    </xf>
    <xf numFmtId="0" fontId="15" fillId="0" borderId="8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9" fontId="20" fillId="0" borderId="22" xfId="33" applyFont="1" applyFill="1" applyBorder="1" applyAlignment="1" applyProtection="1">
      <alignment horizontal="center" vertical="center"/>
      <protection locked="0"/>
    </xf>
    <xf numFmtId="9" fontId="20" fillId="0" borderId="34" xfId="33" applyFont="1" applyFill="1" applyBorder="1" applyAlignment="1" applyProtection="1">
      <alignment horizontal="center" vertical="center"/>
      <protection locked="0"/>
    </xf>
    <xf numFmtId="9" fontId="20" fillId="0" borderId="35" xfId="33" applyFont="1" applyFill="1" applyBorder="1" applyAlignment="1" applyProtection="1">
      <alignment horizontal="center" vertical="center"/>
      <protection locked="0"/>
    </xf>
    <xf numFmtId="0" fontId="15" fillId="0" borderId="12" xfId="0" applyFont="1" applyBorder="1" applyAlignment="1">
      <alignment horizontal="center" vertical="center"/>
    </xf>
    <xf numFmtId="0" fontId="16" fillId="0" borderId="36" xfId="0" applyNumberFormat="1" applyFont="1" applyFill="1" applyBorder="1" applyAlignment="1">
      <alignment horizontal="center" vertical="center" wrapText="1"/>
    </xf>
    <xf numFmtId="0" fontId="16" fillId="0" borderId="37" xfId="0" applyNumberFormat="1" applyFont="1" applyFill="1" applyBorder="1" applyAlignment="1">
      <alignment horizontal="center" vertical="center" wrapText="1"/>
    </xf>
    <xf numFmtId="9" fontId="24" fillId="0" borderId="22" xfId="33" applyFont="1" applyFill="1" applyBorder="1" applyAlignment="1" applyProtection="1">
      <alignment horizontal="center" vertical="center"/>
      <protection locked="0"/>
    </xf>
    <xf numFmtId="9" fontId="24" fillId="0" borderId="35" xfId="33" applyFont="1" applyFill="1" applyBorder="1" applyAlignment="1" applyProtection="1">
      <alignment horizontal="center" vertical="center"/>
      <protection locked="0"/>
    </xf>
    <xf numFmtId="9" fontId="24" fillId="0" borderId="34" xfId="33" applyFont="1" applyFill="1" applyBorder="1" applyAlignment="1" applyProtection="1">
      <alignment horizontal="center" vertical="center"/>
      <protection locked="0"/>
    </xf>
    <xf numFmtId="0" fontId="15" fillId="0" borderId="38" xfId="0" applyFont="1" applyBorder="1" applyAlignment="1">
      <alignment horizontal="left"/>
    </xf>
    <xf numFmtId="0" fontId="16" fillId="0" borderId="39" xfId="0" applyFont="1" applyBorder="1" applyAlignment="1">
      <alignment horizontal="left"/>
    </xf>
    <xf numFmtId="0" fontId="16" fillId="0" borderId="0" xfId="0" applyFont="1" applyBorder="1" applyAlignment="1">
      <alignment horizontal="left"/>
    </xf>
    <xf numFmtId="0" fontId="16" fillId="0" borderId="15" xfId="0" applyFont="1" applyBorder="1" applyAlignment="1">
      <alignment horizontal="left"/>
    </xf>
    <xf numFmtId="0" fontId="16" fillId="0" borderId="16" xfId="0" applyFont="1" applyBorder="1" applyAlignment="1">
      <alignment horizontal="left"/>
    </xf>
    <xf numFmtId="0" fontId="16" fillId="0" borderId="17" xfId="0" applyFont="1" applyBorder="1" applyAlignment="1">
      <alignment horizontal="left"/>
    </xf>
    <xf numFmtId="0" fontId="16" fillId="0" borderId="18" xfId="0" applyFont="1" applyBorder="1" applyAlignment="1">
      <alignment horizontal="left"/>
    </xf>
    <xf numFmtId="0" fontId="16" fillId="0" borderId="19" xfId="0" applyFont="1" applyBorder="1" applyAlignment="1">
      <alignment horizontal="left"/>
    </xf>
    <xf numFmtId="0" fontId="15" fillId="0" borderId="40" xfId="0" applyFont="1" applyFill="1" applyBorder="1" applyAlignment="1">
      <alignment horizontal="justify" vertical="center" wrapText="1"/>
    </xf>
    <xf numFmtId="0" fontId="15" fillId="0" borderId="34" xfId="0" applyFont="1" applyFill="1" applyBorder="1" applyAlignment="1">
      <alignment horizontal="justify" vertical="center" wrapText="1"/>
    </xf>
    <xf numFmtId="0" fontId="15" fillId="24" borderId="5" xfId="0" applyFont="1" applyFill="1" applyBorder="1" applyAlignment="1">
      <alignment horizontal="center" vertical="center"/>
    </xf>
    <xf numFmtId="0" fontId="15" fillId="24" borderId="13" xfId="0" applyFont="1" applyFill="1" applyBorder="1" applyAlignment="1">
      <alignment horizontal="center" vertical="center"/>
    </xf>
    <xf numFmtId="0" fontId="15" fillId="24" borderId="14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40" xfId="0" applyFont="1" applyFill="1" applyBorder="1" applyAlignment="1">
      <alignment horizontal="justify" vertical="center" wrapText="1"/>
    </xf>
    <xf numFmtId="0" fontId="16" fillId="0" borderId="34" xfId="0" applyFont="1" applyFill="1" applyBorder="1" applyAlignment="1">
      <alignment horizontal="justify" vertical="center" wrapText="1"/>
    </xf>
    <xf numFmtId="0" fontId="15" fillId="0" borderId="40" xfId="0" applyFont="1" applyFill="1" applyBorder="1" applyAlignment="1">
      <alignment horizontal="center" vertical="center" wrapText="1"/>
    </xf>
    <xf numFmtId="0" fontId="15" fillId="0" borderId="34" xfId="0" applyFont="1" applyFill="1" applyBorder="1" applyAlignment="1">
      <alignment horizontal="center" vertical="center" wrapText="1"/>
    </xf>
    <xf numFmtId="0" fontId="16" fillId="0" borderId="40" xfId="0" applyFont="1" applyFill="1" applyBorder="1" applyAlignment="1">
      <alignment horizontal="center"/>
    </xf>
    <xf numFmtId="0" fontId="16" fillId="0" borderId="35" xfId="0" applyFont="1" applyFill="1" applyBorder="1" applyAlignment="1">
      <alignment horizontal="center"/>
    </xf>
    <xf numFmtId="0" fontId="16" fillId="0" borderId="39" xfId="0" applyFont="1" applyFill="1" applyBorder="1" applyAlignment="1">
      <alignment horizontal="center"/>
    </xf>
    <xf numFmtId="0" fontId="16" fillId="0" borderId="41" xfId="0" applyFont="1" applyFill="1" applyBorder="1" applyAlignment="1">
      <alignment horizontal="center"/>
    </xf>
    <xf numFmtId="17" fontId="16" fillId="0" borderId="22" xfId="32" applyFont="1" applyFill="1" applyBorder="1" applyAlignment="1" applyProtection="1">
      <alignment horizontal="center" vertical="center"/>
    </xf>
    <xf numFmtId="17" fontId="16" fillId="0" borderId="34" xfId="32" applyFont="1" applyFill="1" applyBorder="1" applyAlignment="1" applyProtection="1">
      <alignment horizontal="center" vertical="center"/>
    </xf>
    <xf numFmtId="17" fontId="14" fillId="0" borderId="20" xfId="32" applyFont="1" applyFill="1" applyBorder="1" applyAlignment="1" applyProtection="1">
      <alignment horizontal="center" vertical="center" textRotation="90"/>
    </xf>
    <xf numFmtId="1" fontId="15" fillId="0" borderId="42" xfId="0" applyNumberFormat="1" applyFont="1" applyFill="1" applyBorder="1" applyAlignment="1">
      <alignment horizontal="center" vertical="center"/>
    </xf>
    <xf numFmtId="0" fontId="15" fillId="0" borderId="35" xfId="0" applyFont="1" applyFill="1" applyBorder="1" applyAlignment="1">
      <alignment horizontal="center" vertical="center" wrapText="1"/>
    </xf>
    <xf numFmtId="0" fontId="15" fillId="0" borderId="38" xfId="0" applyFont="1" applyFill="1" applyBorder="1" applyAlignment="1">
      <alignment horizontal="center" vertical="center" wrapText="1"/>
    </xf>
    <xf numFmtId="0" fontId="15" fillId="0" borderId="39" xfId="0" applyFont="1" applyFill="1" applyBorder="1" applyAlignment="1">
      <alignment horizontal="center" vertical="center" wrapText="1"/>
    </xf>
    <xf numFmtId="0" fontId="15" fillId="0" borderId="41" xfId="0" applyFont="1" applyFill="1" applyBorder="1" applyAlignment="1">
      <alignment horizontal="center" vertical="center" wrapText="1"/>
    </xf>
    <xf numFmtId="1" fontId="15" fillId="0" borderId="20" xfId="0" applyNumberFormat="1" applyFont="1" applyFill="1" applyBorder="1" applyAlignment="1">
      <alignment horizontal="center" vertical="center"/>
    </xf>
    <xf numFmtId="1" fontId="15" fillId="0" borderId="22" xfId="0" applyNumberFormat="1" applyFont="1" applyFill="1" applyBorder="1" applyAlignment="1">
      <alignment horizontal="center" vertical="center"/>
    </xf>
    <xf numFmtId="17" fontId="16" fillId="0" borderId="35" xfId="32" applyFont="1" applyFill="1" applyBorder="1" applyAlignment="1" applyProtection="1">
      <alignment horizontal="center" vertical="center"/>
    </xf>
    <xf numFmtId="0" fontId="16" fillId="0" borderId="43" xfId="0" applyFont="1" applyBorder="1" applyAlignment="1">
      <alignment horizontal="center" wrapText="1"/>
    </xf>
    <xf numFmtId="0" fontId="16" fillId="0" borderId="0" xfId="0" applyFont="1" applyBorder="1" applyAlignment="1">
      <alignment horizontal="center" wrapText="1"/>
    </xf>
    <xf numFmtId="0" fontId="16" fillId="0" borderId="44" xfId="0" applyFont="1" applyBorder="1" applyAlignment="1">
      <alignment horizontal="center" wrapText="1"/>
    </xf>
    <xf numFmtId="0" fontId="16" fillId="23" borderId="45" xfId="0" applyFont="1" applyFill="1" applyBorder="1" applyAlignment="1">
      <alignment horizontal="center" vertical="center" wrapText="1"/>
    </xf>
    <xf numFmtId="0" fontId="16" fillId="23" borderId="46" xfId="0" applyFont="1" applyFill="1" applyBorder="1" applyAlignment="1">
      <alignment horizontal="center" vertical="center" wrapText="1"/>
    </xf>
    <xf numFmtId="0" fontId="16" fillId="23" borderId="47" xfId="0" applyFont="1" applyFill="1" applyBorder="1" applyAlignment="1">
      <alignment horizontal="center" vertical="center" wrapText="1"/>
    </xf>
    <xf numFmtId="0" fontId="15" fillId="0" borderId="48" xfId="0" applyFont="1" applyFill="1" applyBorder="1" applyAlignment="1">
      <alignment horizontal="center" vertical="center" wrapText="1"/>
    </xf>
    <xf numFmtId="0" fontId="15" fillId="0" borderId="28" xfId="0" applyFont="1" applyFill="1" applyBorder="1" applyAlignment="1">
      <alignment horizontal="center" vertical="center" wrapText="1"/>
    </xf>
    <xf numFmtId="17" fontId="14" fillId="0" borderId="22" xfId="32" applyFont="1" applyFill="1" applyBorder="1" applyAlignment="1" applyProtection="1">
      <alignment horizontal="center" vertical="center" wrapText="1"/>
    </xf>
    <xf numFmtId="17" fontId="14" fillId="0" borderId="34" xfId="32" applyFont="1" applyFill="1" applyBorder="1" applyAlignment="1" applyProtection="1">
      <alignment horizontal="center" vertical="center" wrapText="1"/>
    </xf>
    <xf numFmtId="17" fontId="14" fillId="0" borderId="49" xfId="32" applyFont="1" applyFill="1" applyBorder="1" applyAlignment="1" applyProtection="1">
      <alignment horizontal="center" vertical="center"/>
    </xf>
    <xf numFmtId="17" fontId="14" fillId="0" borderId="20" xfId="32" applyFont="1" applyFill="1" applyBorder="1" applyAlignment="1" applyProtection="1">
      <alignment horizontal="center" vertical="center"/>
    </xf>
    <xf numFmtId="0" fontId="15" fillId="25" borderId="50" xfId="0" applyFont="1" applyFill="1" applyBorder="1" applyAlignment="1">
      <alignment horizontal="center" vertical="center" textRotation="90" wrapText="1"/>
    </xf>
    <xf numFmtId="17" fontId="14" fillId="0" borderId="51" xfId="32" applyFont="1" applyFill="1" applyBorder="1" applyAlignment="1" applyProtection="1">
      <alignment horizontal="center" vertical="center"/>
    </xf>
    <xf numFmtId="17" fontId="14" fillId="0" borderId="21" xfId="32" applyFont="1" applyFill="1" applyBorder="1" applyAlignment="1" applyProtection="1">
      <alignment horizontal="center" vertical="center"/>
    </xf>
    <xf numFmtId="0" fontId="15" fillId="0" borderId="54" xfId="0" applyFont="1" applyFill="1" applyBorder="1" applyAlignment="1">
      <alignment horizontal="center" vertical="center"/>
    </xf>
    <xf numFmtId="0" fontId="15" fillId="0" borderId="55" xfId="0" applyFont="1" applyFill="1" applyBorder="1" applyAlignment="1">
      <alignment horizontal="center" vertical="center"/>
    </xf>
    <xf numFmtId="0" fontId="15" fillId="0" borderId="56" xfId="0" applyFont="1" applyFill="1" applyBorder="1" applyAlignment="1">
      <alignment horizontal="center" vertical="center"/>
    </xf>
    <xf numFmtId="0" fontId="15" fillId="26" borderId="50" xfId="0" applyFont="1" applyFill="1" applyBorder="1" applyAlignment="1">
      <alignment horizontal="center" vertical="center" textRotation="90" wrapText="1"/>
    </xf>
    <xf numFmtId="0" fontId="15" fillId="0" borderId="6" xfId="0" applyFont="1" applyBorder="1" applyAlignment="1">
      <alignment horizontal="center" vertical="center"/>
    </xf>
    <xf numFmtId="17" fontId="15" fillId="24" borderId="5" xfId="32" applyFont="1" applyFill="1" applyBorder="1" applyAlignment="1" applyProtection="1">
      <alignment horizontal="center" vertical="center"/>
    </xf>
    <xf numFmtId="17" fontId="15" fillId="24" borderId="13" xfId="32" applyFont="1" applyFill="1" applyBorder="1" applyAlignment="1" applyProtection="1">
      <alignment horizontal="center" vertical="center"/>
    </xf>
    <xf numFmtId="17" fontId="15" fillId="24" borderId="18" xfId="32" applyFont="1" applyFill="1" applyBorder="1" applyAlignment="1" applyProtection="1">
      <alignment horizontal="center" vertical="center"/>
    </xf>
    <xf numFmtId="17" fontId="15" fillId="24" borderId="19" xfId="32" applyFont="1" applyFill="1" applyBorder="1" applyAlignment="1" applyProtection="1">
      <alignment horizontal="center" vertical="center"/>
    </xf>
    <xf numFmtId="17" fontId="14" fillId="0" borderId="57" xfId="32" applyFont="1" applyFill="1" applyBorder="1" applyAlignment="1" applyProtection="1">
      <alignment horizontal="center" vertical="center" textRotation="90" wrapText="1"/>
    </xf>
    <xf numFmtId="17" fontId="14" fillId="0" borderId="45" xfId="32" applyFont="1" applyFill="1" applyBorder="1" applyAlignment="1" applyProtection="1">
      <alignment horizontal="center" vertical="center" textRotation="90" wrapText="1"/>
    </xf>
    <xf numFmtId="17" fontId="14" fillId="0" borderId="58" xfId="32" applyFont="1" applyFill="1" applyBorder="1" applyAlignment="1" applyProtection="1">
      <alignment horizontal="center" vertical="center" textRotation="90" wrapText="1"/>
    </xf>
    <xf numFmtId="0" fontId="15" fillId="27" borderId="50" xfId="0" applyFont="1" applyFill="1" applyBorder="1" applyAlignment="1">
      <alignment horizontal="center" vertical="center" textRotation="90" wrapText="1"/>
    </xf>
    <xf numFmtId="17" fontId="14" fillId="0" borderId="49" xfId="32" applyFont="1" applyFill="1" applyBorder="1" applyAlignment="1" applyProtection="1">
      <alignment horizontal="center" vertical="center" wrapText="1"/>
    </xf>
    <xf numFmtId="17" fontId="14" fillId="0" borderId="20" xfId="32" applyFont="1" applyFill="1" applyBorder="1" applyAlignment="1" applyProtection="1">
      <alignment horizontal="center" vertical="center" wrapText="1"/>
    </xf>
    <xf numFmtId="17" fontId="14" fillId="0" borderId="53" xfId="32" applyFont="1" applyFill="1" applyBorder="1" applyAlignment="1" applyProtection="1">
      <alignment horizontal="center" vertical="center" wrapText="1"/>
    </xf>
    <xf numFmtId="0" fontId="16" fillId="0" borderId="5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5" fillId="24" borderId="52" xfId="0" applyFont="1" applyFill="1" applyBorder="1" applyAlignment="1">
      <alignment horizontal="center" vertical="center" textRotation="90" wrapText="1"/>
    </xf>
    <xf numFmtId="0" fontId="15" fillId="24" borderId="50" xfId="0" applyFont="1" applyFill="1" applyBorder="1" applyAlignment="1">
      <alignment horizontal="center" vertical="center" textRotation="90" wrapText="1"/>
    </xf>
  </cellXfs>
  <cellStyles count="38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Celda vinculada" xfId="19" builtinId="24" customBuiltin="1"/>
    <cellStyle name="Encabezado 4" xfId="20" builtinId="19" customBuiltin="1"/>
    <cellStyle name="Énfasis1" xfId="21" builtinId="29" customBuiltin="1"/>
    <cellStyle name="Énfasis2" xfId="22" builtinId="33" customBuiltin="1"/>
    <cellStyle name="Énfasis3" xfId="23" builtinId="37" customBuiltin="1"/>
    <cellStyle name="Énfasis4" xfId="24" builtinId="41" customBuiltin="1"/>
    <cellStyle name="Énfasis5" xfId="25" builtinId="45" customBuiltin="1"/>
    <cellStyle name="Énfasis6" xfId="26" builtinId="49" customBuiltin="1"/>
    <cellStyle name="Entrada" xfId="27" builtinId="20" customBuiltin="1"/>
    <cellStyle name="Euro" xfId="28" xr:uid="{00000000-0005-0000-0000-00001B000000}"/>
    <cellStyle name="Incorrecto" xfId="29" builtinId="27" customBuiltin="1"/>
    <cellStyle name="Neutral" xfId="30" builtinId="28" customBuiltin="1"/>
    <cellStyle name="Normal" xfId="0" builtinId="0"/>
    <cellStyle name="Normal 2" xfId="31" xr:uid="{00000000-0005-0000-0000-00001F000000}"/>
    <cellStyle name="Normal 3" xfId="32" xr:uid="{00000000-0005-0000-0000-000020000000}"/>
    <cellStyle name="Porcentaje" xfId="33" builtinId="5"/>
    <cellStyle name="Porcentual 2" xfId="34" xr:uid="{00000000-0005-0000-0000-000022000000}"/>
    <cellStyle name="Salida" xfId="35" builtinId="21" customBuiltin="1"/>
    <cellStyle name="Título" xfId="36" builtinId="15" customBuiltin="1"/>
    <cellStyle name="Total" xfId="37" builtinId="25" customBuiltin="1"/>
  </cellStyles>
  <dxfs count="48"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Seguimiento al Cumplimiento del plan de Trabajo del SGSST Vigencia</a:t>
            </a:r>
          </a:p>
        </c:rich>
      </c:tx>
      <c:layout>
        <c:manualLayout>
          <c:xMode val="edge"/>
          <c:yMode val="edge"/>
          <c:x val="0.1260931067827048"/>
          <c:y val="4.2595776445375516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Cumplimiento Mensual</c:v>
          </c:tx>
          <c:spPr>
            <a:ln w="12700">
              <a:solidFill>
                <a:srgbClr val="99CC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92D050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cat>
            <c:strRef>
              <c:f>' Plan de Trabajo SST'!$C$46:$Z$46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SST'!$C$48:$Z$48</c:f>
              <c:numCache>
                <c:formatCode>0%</c:formatCode>
                <c:ptCount val="24"/>
                <c:pt idx="0">
                  <c:v>1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0B-47D8-9833-D0147C52A659}"/>
            </c:ext>
          </c:extLst>
        </c:ser>
        <c:ser>
          <c:idx val="1"/>
          <c:order val="1"/>
          <c:tx>
            <c:v>Meta Vigencia</c:v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' Plan de Trabajo SST'!$C$46:$Z$46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SST'!$C$49:$Z$49</c:f>
              <c:numCache>
                <c:formatCode>0%</c:formatCode>
                <c:ptCount val="24"/>
                <c:pt idx="0">
                  <c:v>0.9</c:v>
                </c:pt>
                <c:pt idx="2">
                  <c:v>0.9</c:v>
                </c:pt>
                <c:pt idx="4">
                  <c:v>0.9</c:v>
                </c:pt>
                <c:pt idx="6">
                  <c:v>0.9</c:v>
                </c:pt>
                <c:pt idx="8">
                  <c:v>0.9</c:v>
                </c:pt>
                <c:pt idx="10">
                  <c:v>0.9</c:v>
                </c:pt>
                <c:pt idx="12">
                  <c:v>0.9</c:v>
                </c:pt>
                <c:pt idx="14">
                  <c:v>0.9</c:v>
                </c:pt>
                <c:pt idx="16">
                  <c:v>0.9</c:v>
                </c:pt>
                <c:pt idx="18">
                  <c:v>0.9</c:v>
                </c:pt>
                <c:pt idx="20">
                  <c:v>0.9</c:v>
                </c:pt>
                <c:pt idx="22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0B-47D8-9833-D0147C52A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3378832"/>
        <c:axId val="1543383184"/>
      </c:lineChart>
      <c:catAx>
        <c:axId val="154337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3184"/>
        <c:crosses val="autoZero"/>
        <c:auto val="1"/>
        <c:lblAlgn val="ctr"/>
        <c:lblOffset val="100"/>
        <c:noMultiLvlLbl val="0"/>
      </c:catAx>
      <c:valAx>
        <c:axId val="154338318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CO"/>
                  <a:t>%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7883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1026536814477137"/>
          <c:y val="0.50950580718694571"/>
          <c:w val="0.27152327669567622"/>
          <c:h val="0.1749049258750913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4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0"/>
    <c:dispBlanksAs val="span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2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% Cumplimiento de Ejecución del SGSST Vigencia</a:t>
            </a:r>
          </a:p>
        </c:rich>
      </c:tx>
      <c:layout>
        <c:manualLayout>
          <c:xMode val="edge"/>
          <c:yMode val="edge"/>
          <c:x val="0.23150666262870986"/>
          <c:y val="4.8387107099417452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% Cumplimiento</c:v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dLbls>
            <c:dLbl>
              <c:idx val="0"/>
              <c:layout>
                <c:manualLayout>
                  <c:x val="2.6402640264026406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76-43BC-B8C6-B4BE5D61FCE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_x0001_%</c:v>
              </c:pt>
            </c:strLit>
          </c:cat>
          <c:val>
            <c:numRef>
              <c:f>' Plan de Trabajo SST'!$AD$47</c:f>
              <c:numCache>
                <c:formatCode>0%</c:formatCode>
                <c:ptCount val="1"/>
                <c:pt idx="0">
                  <c:v>0.1276595744680851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76-43BC-B8C6-B4BE5D61FCED}"/>
            </c:ext>
          </c:extLst>
        </c:ser>
        <c:ser>
          <c:idx val="2"/>
          <c:order val="1"/>
          <c:tx>
            <c:v>% Meta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C576-43BC-B8C6-B4BE5D61FCED}"/>
              </c:ext>
            </c:extLst>
          </c:dPt>
          <c:dLbls>
            <c:dLbl>
              <c:idx val="0"/>
              <c:layout>
                <c:manualLayout>
                  <c:x val="5.940594059405941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76-43BC-B8C6-B4BE5D61FCE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_x0001_%</c:v>
              </c:pt>
            </c:strLit>
          </c:cat>
          <c:val>
            <c:numRef>
              <c:f>' Plan de Trabajo SST'!$AD$49</c:f>
              <c:numCache>
                <c:formatCode>0%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76-43BC-B8C6-B4BE5D61F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43384816"/>
        <c:axId val="1543385360"/>
        <c:axId val="0"/>
      </c:bar3DChart>
      <c:catAx>
        <c:axId val="154338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5360"/>
        <c:crosses val="autoZero"/>
        <c:auto val="1"/>
        <c:lblAlgn val="ctr"/>
        <c:lblOffset val="100"/>
        <c:noMultiLvlLbl val="0"/>
      </c:catAx>
      <c:valAx>
        <c:axId val="154338536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4816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551467124301773"/>
          <c:y val="0.57954740413545869"/>
          <c:w val="0.20391530385624879"/>
          <c:h val="0.2045461238076947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50</xdr:row>
      <xdr:rowOff>0</xdr:rowOff>
    </xdr:from>
    <xdr:to>
      <xdr:col>16</xdr:col>
      <xdr:colOff>209550</xdr:colOff>
      <xdr:row>66</xdr:row>
      <xdr:rowOff>66675</xdr:rowOff>
    </xdr:to>
    <xdr:graphicFrame macro="">
      <xdr:nvGraphicFramePr>
        <xdr:cNvPr id="5198974" name="1 Gráfico">
          <a:extLst>
            <a:ext uri="{FF2B5EF4-FFF2-40B4-BE49-F238E27FC236}">
              <a16:creationId xmlns:a16="http://schemas.microsoft.com/office/drawing/2014/main" id="{15F7505F-5E61-4C80-966E-6BE5B9BB6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219075</xdr:colOff>
      <xdr:row>50</xdr:row>
      <xdr:rowOff>9525</xdr:rowOff>
    </xdr:from>
    <xdr:to>
      <xdr:col>29</xdr:col>
      <xdr:colOff>1533525</xdr:colOff>
      <xdr:row>66</xdr:row>
      <xdr:rowOff>85725</xdr:rowOff>
    </xdr:to>
    <xdr:graphicFrame macro="">
      <xdr:nvGraphicFramePr>
        <xdr:cNvPr id="5198975" name="4 Gráfico">
          <a:extLst>
            <a:ext uri="{FF2B5EF4-FFF2-40B4-BE49-F238E27FC236}">
              <a16:creationId xmlns:a16="http://schemas.microsoft.com/office/drawing/2014/main" id="{4F3A329A-2487-470C-9DE0-73385EB73B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504825</xdr:colOff>
      <xdr:row>0</xdr:row>
      <xdr:rowOff>66675</xdr:rowOff>
    </xdr:from>
    <xdr:to>
      <xdr:col>1</xdr:col>
      <xdr:colOff>2447925</xdr:colOff>
      <xdr:row>2</xdr:row>
      <xdr:rowOff>466725</xdr:rowOff>
    </xdr:to>
    <xdr:pic>
      <xdr:nvPicPr>
        <xdr:cNvPr id="5198976" name="Imagen 2">
          <a:extLst>
            <a:ext uri="{FF2B5EF4-FFF2-40B4-BE49-F238E27FC236}">
              <a16:creationId xmlns:a16="http://schemas.microsoft.com/office/drawing/2014/main" id="{E7ABB08D-8341-4091-B74D-27C8D7166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59"/>
        <a:stretch>
          <a:fillRect/>
        </a:stretch>
      </xdr:blipFill>
      <xdr:spPr bwMode="auto">
        <a:xfrm>
          <a:off x="504825" y="66675"/>
          <a:ext cx="2505075" cy="152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>
    <tabColor theme="4" tint="-0.249977111117893"/>
    <pageSetUpPr fitToPage="1"/>
  </sheetPr>
  <dimension ref="A1:AF69"/>
  <sheetViews>
    <sheetView showGridLines="0" tabSelected="1" topLeftCell="A14" zoomScaleNormal="100" zoomScaleSheetLayoutView="55" zoomScalePageLayoutView="60" workbookViewId="0">
      <selection activeCell="B13" sqref="B13:B33"/>
    </sheetView>
  </sheetViews>
  <sheetFormatPr baseColWidth="10" defaultRowHeight="15" x14ac:dyDescent="0.2"/>
  <cols>
    <col min="1" max="1" width="8.42578125" style="1" customWidth="1"/>
    <col min="2" max="2" width="49.5703125" style="1" customWidth="1"/>
    <col min="3" max="26" width="4.140625" style="1" customWidth="1"/>
    <col min="27" max="27" width="20.42578125" style="5" customWidth="1"/>
    <col min="28" max="28" width="5.7109375" style="5" customWidth="1"/>
    <col min="29" max="29" width="6.42578125" style="5" customWidth="1"/>
    <col min="30" max="30" width="30.28515625" style="1" customWidth="1"/>
    <col min="31" max="16384" width="11.42578125" style="1"/>
  </cols>
  <sheetData>
    <row r="1" spans="1:32" ht="44.25" customHeight="1" thickBot="1" x14ac:dyDescent="0.25">
      <c r="A1" s="106"/>
      <c r="B1" s="106"/>
      <c r="C1" s="33" t="s">
        <v>84</v>
      </c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5" t="s">
        <v>85</v>
      </c>
      <c r="AC1" s="35"/>
      <c r="AD1" s="35"/>
    </row>
    <row r="2" spans="1:32" ht="44.25" customHeight="1" thickBot="1" x14ac:dyDescent="0.25">
      <c r="A2" s="106"/>
      <c r="B2" s="106"/>
      <c r="C2" s="34" t="s">
        <v>49</v>
      </c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5" t="s">
        <v>86</v>
      </c>
      <c r="AC2" s="35"/>
      <c r="AD2" s="35"/>
    </row>
    <row r="3" spans="1:32" ht="44.25" customHeight="1" thickBot="1" x14ac:dyDescent="0.25">
      <c r="A3" s="106"/>
      <c r="B3" s="106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5" t="s">
        <v>90</v>
      </c>
      <c r="AC3" s="35"/>
      <c r="AD3" s="35"/>
    </row>
    <row r="4" spans="1:32" ht="17.25" customHeight="1" thickBot="1" x14ac:dyDescent="0.25">
      <c r="A4" s="87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9"/>
      <c r="AF4" s="31"/>
    </row>
    <row r="5" spans="1:32" ht="21" customHeight="1" thickBot="1" x14ac:dyDescent="0.25">
      <c r="A5" s="62" t="s">
        <v>0</v>
      </c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4"/>
    </row>
    <row r="6" spans="1:32" ht="85.5" customHeight="1" thickBot="1" x14ac:dyDescent="0.25">
      <c r="A6" s="90" t="s">
        <v>72</v>
      </c>
      <c r="B6" s="91"/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C6" s="91"/>
      <c r="AD6" s="92"/>
    </row>
    <row r="7" spans="1:32" ht="24" customHeight="1" thickBot="1" x14ac:dyDescent="0.25">
      <c r="A7" s="62" t="s">
        <v>5</v>
      </c>
      <c r="B7" s="63"/>
      <c r="C7" s="63"/>
      <c r="D7" s="63"/>
      <c r="E7" s="63"/>
      <c r="F7" s="64"/>
      <c r="G7" s="62" t="s">
        <v>1</v>
      </c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4"/>
      <c r="Y7" s="62" t="s">
        <v>52</v>
      </c>
      <c r="Z7" s="63"/>
      <c r="AA7" s="63"/>
      <c r="AB7" s="63"/>
      <c r="AC7" s="63"/>
      <c r="AD7" s="64"/>
    </row>
    <row r="8" spans="1:32" ht="56.25" customHeight="1" thickBot="1" x14ac:dyDescent="0.25">
      <c r="A8" s="65" t="s">
        <v>41</v>
      </c>
      <c r="B8" s="66"/>
      <c r="C8" s="66"/>
      <c r="D8" s="66"/>
      <c r="E8" s="66"/>
      <c r="F8" s="67"/>
      <c r="G8" s="65" t="s">
        <v>6</v>
      </c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7"/>
      <c r="Y8" s="118" t="s">
        <v>100</v>
      </c>
      <c r="Z8" s="119"/>
      <c r="AA8" s="119"/>
      <c r="AB8" s="119"/>
      <c r="AC8" s="119"/>
      <c r="AD8" s="120"/>
    </row>
    <row r="9" spans="1:32" s="2" customFormat="1" ht="24" customHeight="1" thickBot="1" x14ac:dyDescent="0.25">
      <c r="A9" s="107"/>
      <c r="B9" s="108"/>
      <c r="C9" s="108"/>
      <c r="D9" s="108"/>
      <c r="E9" s="108"/>
      <c r="F9" s="108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09"/>
      <c r="AB9" s="109"/>
      <c r="AC9" s="109"/>
      <c r="AD9" s="110"/>
    </row>
    <row r="10" spans="1:32" ht="18" customHeight="1" x14ac:dyDescent="0.2">
      <c r="A10" s="111" t="s">
        <v>37</v>
      </c>
      <c r="B10" s="115" t="s">
        <v>38</v>
      </c>
      <c r="C10" s="97" t="s">
        <v>53</v>
      </c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 t="s">
        <v>8</v>
      </c>
      <c r="AB10" s="97" t="s">
        <v>30</v>
      </c>
      <c r="AC10" s="97"/>
      <c r="AD10" s="100" t="s">
        <v>9</v>
      </c>
    </row>
    <row r="11" spans="1:32" ht="37.5" customHeight="1" x14ac:dyDescent="0.2">
      <c r="A11" s="112"/>
      <c r="B11" s="116"/>
      <c r="C11" s="95" t="s">
        <v>17</v>
      </c>
      <c r="D11" s="96"/>
      <c r="E11" s="95" t="s">
        <v>18</v>
      </c>
      <c r="F11" s="96"/>
      <c r="G11" s="95" t="s">
        <v>19</v>
      </c>
      <c r="H11" s="96"/>
      <c r="I11" s="95" t="s">
        <v>20</v>
      </c>
      <c r="J11" s="96"/>
      <c r="K11" s="95" t="s">
        <v>21</v>
      </c>
      <c r="L11" s="96"/>
      <c r="M11" s="95" t="s">
        <v>22</v>
      </c>
      <c r="N11" s="96"/>
      <c r="O11" s="95" t="s">
        <v>12</v>
      </c>
      <c r="P11" s="96"/>
      <c r="Q11" s="95" t="s">
        <v>13</v>
      </c>
      <c r="R11" s="96"/>
      <c r="S11" s="95" t="s">
        <v>14</v>
      </c>
      <c r="T11" s="96"/>
      <c r="U11" s="95" t="s">
        <v>15</v>
      </c>
      <c r="V11" s="96"/>
      <c r="W11" s="95" t="s">
        <v>16</v>
      </c>
      <c r="X11" s="96"/>
      <c r="Y11" s="95" t="s">
        <v>23</v>
      </c>
      <c r="Z11" s="96"/>
      <c r="AA11" s="98"/>
      <c r="AB11" s="78" t="s">
        <v>34</v>
      </c>
      <c r="AC11" s="78" t="s">
        <v>31</v>
      </c>
      <c r="AD11" s="101"/>
    </row>
    <row r="12" spans="1:32" ht="30" customHeight="1" x14ac:dyDescent="0.2">
      <c r="A12" s="113"/>
      <c r="B12" s="117"/>
      <c r="C12" s="7" t="s">
        <v>2</v>
      </c>
      <c r="D12" s="12" t="s">
        <v>3</v>
      </c>
      <c r="E12" s="7" t="s">
        <v>2</v>
      </c>
      <c r="F12" s="12" t="s">
        <v>3</v>
      </c>
      <c r="G12" s="7" t="s">
        <v>2</v>
      </c>
      <c r="H12" s="12" t="s">
        <v>3</v>
      </c>
      <c r="I12" s="7" t="s">
        <v>2</v>
      </c>
      <c r="J12" s="12" t="s">
        <v>3</v>
      </c>
      <c r="K12" s="7" t="s">
        <v>2</v>
      </c>
      <c r="L12" s="12" t="s">
        <v>3</v>
      </c>
      <c r="M12" s="7" t="s">
        <v>2</v>
      </c>
      <c r="N12" s="12" t="s">
        <v>3</v>
      </c>
      <c r="O12" s="7" t="s">
        <v>2</v>
      </c>
      <c r="P12" s="12" t="s">
        <v>3</v>
      </c>
      <c r="Q12" s="7" t="s">
        <v>2</v>
      </c>
      <c r="R12" s="12" t="s">
        <v>3</v>
      </c>
      <c r="S12" s="7" t="s">
        <v>2</v>
      </c>
      <c r="T12" s="12" t="s">
        <v>3</v>
      </c>
      <c r="U12" s="7" t="s">
        <v>2</v>
      </c>
      <c r="V12" s="12" t="s">
        <v>3</v>
      </c>
      <c r="W12" s="7" t="s">
        <v>2</v>
      </c>
      <c r="X12" s="12" t="s">
        <v>3</v>
      </c>
      <c r="Y12" s="7" t="s">
        <v>2</v>
      </c>
      <c r="Z12" s="12" t="s">
        <v>3</v>
      </c>
      <c r="AA12" s="98"/>
      <c r="AB12" s="78"/>
      <c r="AC12" s="78"/>
      <c r="AD12" s="101"/>
    </row>
    <row r="13" spans="1:32" ht="51.75" customHeight="1" x14ac:dyDescent="0.2">
      <c r="A13" s="121" t="s">
        <v>33</v>
      </c>
      <c r="B13" s="27" t="s">
        <v>101</v>
      </c>
      <c r="C13" s="19">
        <v>1</v>
      </c>
      <c r="D13" s="19">
        <v>1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20" t="s">
        <v>93</v>
      </c>
      <c r="AB13" s="6" t="s">
        <v>29</v>
      </c>
      <c r="AC13" s="6"/>
      <c r="AD13" s="8"/>
    </row>
    <row r="14" spans="1:32" ht="78.75" customHeight="1" x14ac:dyDescent="0.2">
      <c r="A14" s="122"/>
      <c r="B14" s="21" t="s">
        <v>73</v>
      </c>
      <c r="C14" s="22">
        <v>1</v>
      </c>
      <c r="D14" s="22">
        <v>1</v>
      </c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3" t="s">
        <v>94</v>
      </c>
      <c r="AB14" s="6" t="s">
        <v>29</v>
      </c>
      <c r="AC14" s="6" t="s">
        <v>29</v>
      </c>
      <c r="AD14" s="9"/>
      <c r="AE14" s="16"/>
    </row>
    <row r="15" spans="1:32" ht="82.5" hidden="1" customHeight="1" x14ac:dyDescent="0.2">
      <c r="A15" s="122"/>
      <c r="B15" s="21" t="s">
        <v>113</v>
      </c>
      <c r="C15" s="22"/>
      <c r="D15" s="22"/>
      <c r="E15" s="22">
        <v>1</v>
      </c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3" t="s">
        <v>95</v>
      </c>
      <c r="AB15" s="6" t="s">
        <v>29</v>
      </c>
      <c r="AC15" s="6" t="s">
        <v>29</v>
      </c>
      <c r="AD15" s="9"/>
    </row>
    <row r="16" spans="1:32" ht="54.75" customHeight="1" x14ac:dyDescent="0.2">
      <c r="A16" s="122"/>
      <c r="B16" s="21" t="s">
        <v>91</v>
      </c>
      <c r="C16" s="22">
        <v>1</v>
      </c>
      <c r="D16" s="22">
        <v>1</v>
      </c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3" t="s">
        <v>50</v>
      </c>
      <c r="AB16" s="6" t="s">
        <v>29</v>
      </c>
      <c r="AC16" s="6"/>
      <c r="AD16" s="8" t="s">
        <v>98</v>
      </c>
    </row>
    <row r="17" spans="1:30" ht="51" hidden="1" customHeight="1" x14ac:dyDescent="0.2">
      <c r="A17" s="122"/>
      <c r="B17" s="21" t="s">
        <v>81</v>
      </c>
      <c r="C17" s="22"/>
      <c r="D17" s="22"/>
      <c r="E17" s="22">
        <v>1</v>
      </c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3" t="s">
        <v>50</v>
      </c>
      <c r="AB17" s="6" t="s">
        <v>29</v>
      </c>
      <c r="AC17" s="6"/>
      <c r="AD17" s="8" t="s">
        <v>99</v>
      </c>
    </row>
    <row r="18" spans="1:30" ht="51" customHeight="1" x14ac:dyDescent="0.2">
      <c r="A18" s="122"/>
      <c r="B18" s="21" t="s">
        <v>104</v>
      </c>
      <c r="C18" s="22">
        <v>1</v>
      </c>
      <c r="D18" s="22">
        <v>1</v>
      </c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3" t="s">
        <v>50</v>
      </c>
      <c r="AB18" s="6" t="s">
        <v>29</v>
      </c>
      <c r="AC18" s="6"/>
      <c r="AD18" s="10" t="s">
        <v>76</v>
      </c>
    </row>
    <row r="19" spans="1:30" ht="51" hidden="1" customHeight="1" x14ac:dyDescent="0.2">
      <c r="A19" s="122"/>
      <c r="B19" s="21" t="s">
        <v>106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>
        <v>1</v>
      </c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3" t="s">
        <v>95</v>
      </c>
      <c r="AB19" s="6" t="s">
        <v>29</v>
      </c>
      <c r="AC19" s="6"/>
      <c r="AD19" s="10"/>
    </row>
    <row r="20" spans="1:30" ht="48.75" hidden="1" customHeight="1" x14ac:dyDescent="0.2">
      <c r="A20" s="122"/>
      <c r="B20" s="21" t="s">
        <v>75</v>
      </c>
      <c r="C20" s="22"/>
      <c r="D20" s="22"/>
      <c r="E20" s="22"/>
      <c r="F20" s="22"/>
      <c r="G20" s="22"/>
      <c r="H20" s="22"/>
      <c r="I20" s="22"/>
      <c r="J20" s="22"/>
      <c r="K20" s="22">
        <v>1</v>
      </c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3" t="s">
        <v>50</v>
      </c>
      <c r="AB20" s="6" t="s">
        <v>29</v>
      </c>
      <c r="AC20" s="6"/>
      <c r="AD20" s="9"/>
    </row>
    <row r="21" spans="1:30" ht="62.25" hidden="1" customHeight="1" x14ac:dyDescent="0.2">
      <c r="A21" s="122"/>
      <c r="B21" s="21" t="s">
        <v>74</v>
      </c>
      <c r="C21" s="22"/>
      <c r="D21" s="22"/>
      <c r="E21" s="22"/>
      <c r="F21" s="22"/>
      <c r="G21" s="22"/>
      <c r="H21" s="22"/>
      <c r="I21" s="22"/>
      <c r="J21" s="22"/>
      <c r="K21" s="22">
        <v>1</v>
      </c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3" t="s">
        <v>50</v>
      </c>
      <c r="AB21" s="6" t="s">
        <v>29</v>
      </c>
      <c r="AC21" s="6"/>
      <c r="AD21" s="9"/>
    </row>
    <row r="22" spans="1:30" ht="45" hidden="1" customHeight="1" x14ac:dyDescent="0.2">
      <c r="A22" s="122"/>
      <c r="B22" s="21" t="s">
        <v>42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>
        <v>1</v>
      </c>
      <c r="Z22" s="22"/>
      <c r="AA22" s="23" t="s">
        <v>51</v>
      </c>
      <c r="AB22" s="6" t="s">
        <v>29</v>
      </c>
      <c r="AC22" s="6"/>
      <c r="AD22" s="9"/>
    </row>
    <row r="23" spans="1:30" ht="72.75" hidden="1" customHeight="1" x14ac:dyDescent="0.2">
      <c r="A23" s="122"/>
      <c r="B23" s="21" t="s">
        <v>54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>
        <v>1</v>
      </c>
      <c r="R23" s="22"/>
      <c r="S23" s="22"/>
      <c r="T23" s="22"/>
      <c r="U23" s="22"/>
      <c r="V23" s="22"/>
      <c r="W23" s="22"/>
      <c r="X23" s="22"/>
      <c r="Y23" s="22"/>
      <c r="Z23" s="22"/>
      <c r="AA23" s="23" t="s">
        <v>96</v>
      </c>
      <c r="AB23" s="6" t="s">
        <v>29</v>
      </c>
      <c r="AC23" s="6"/>
      <c r="AD23" s="9"/>
    </row>
    <row r="24" spans="1:30" ht="72.75" hidden="1" customHeight="1" x14ac:dyDescent="0.2">
      <c r="A24" s="122"/>
      <c r="B24" s="21" t="s">
        <v>107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>
        <v>1</v>
      </c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3" t="s">
        <v>51</v>
      </c>
      <c r="AB24" s="6" t="s">
        <v>112</v>
      </c>
      <c r="AC24" s="6"/>
      <c r="AD24" s="9"/>
    </row>
    <row r="25" spans="1:30" ht="72.75" hidden="1" customHeight="1" x14ac:dyDescent="0.2">
      <c r="A25" s="122"/>
      <c r="B25" s="21" t="s">
        <v>108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>
        <v>1</v>
      </c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3" t="s">
        <v>40</v>
      </c>
      <c r="AB25" s="6" t="s">
        <v>29</v>
      </c>
      <c r="AC25" s="6"/>
      <c r="AD25" s="9"/>
    </row>
    <row r="26" spans="1:30" ht="46.5" hidden="1" customHeight="1" x14ac:dyDescent="0.2">
      <c r="A26" s="122"/>
      <c r="B26" s="21" t="s">
        <v>55</v>
      </c>
      <c r="C26" s="22"/>
      <c r="D26" s="22"/>
      <c r="E26" s="22"/>
      <c r="F26" s="22"/>
      <c r="G26" s="22"/>
      <c r="H26" s="22"/>
      <c r="I26" s="22">
        <v>1</v>
      </c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>
        <v>1</v>
      </c>
      <c r="V26" s="22"/>
      <c r="W26" s="22"/>
      <c r="X26" s="22"/>
      <c r="Y26" s="22"/>
      <c r="Z26" s="22"/>
      <c r="AA26" s="23" t="s">
        <v>93</v>
      </c>
      <c r="AB26" s="6" t="s">
        <v>29</v>
      </c>
      <c r="AC26" s="6"/>
      <c r="AD26" s="9"/>
    </row>
    <row r="27" spans="1:30" ht="46.5" hidden="1" customHeight="1" x14ac:dyDescent="0.2">
      <c r="A27" s="122"/>
      <c r="B27" s="21" t="s">
        <v>77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>
        <v>1</v>
      </c>
      <c r="X27" s="22"/>
      <c r="Y27" s="22"/>
      <c r="Z27" s="22"/>
      <c r="AA27" s="23" t="s">
        <v>93</v>
      </c>
      <c r="AB27" s="6" t="s">
        <v>29</v>
      </c>
      <c r="AC27" s="6"/>
      <c r="AD27" s="9"/>
    </row>
    <row r="28" spans="1:30" ht="68.25" hidden="1" customHeight="1" x14ac:dyDescent="0.2">
      <c r="A28" s="114" t="s">
        <v>27</v>
      </c>
      <c r="B28" s="21" t="s">
        <v>56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>
        <v>1</v>
      </c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3" t="s">
        <v>97</v>
      </c>
      <c r="AB28" s="6" t="s">
        <v>29</v>
      </c>
      <c r="AC28" s="6" t="s">
        <v>29</v>
      </c>
      <c r="AD28" s="9"/>
    </row>
    <row r="29" spans="1:30" ht="68.25" hidden="1" customHeight="1" x14ac:dyDescent="0.2">
      <c r="A29" s="114"/>
      <c r="B29" s="21" t="s">
        <v>109</v>
      </c>
      <c r="C29" s="22"/>
      <c r="D29" s="22"/>
      <c r="E29" s="22"/>
      <c r="F29" s="22"/>
      <c r="G29" s="22">
        <v>1</v>
      </c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3" t="s">
        <v>97</v>
      </c>
      <c r="AB29" s="6" t="s">
        <v>29</v>
      </c>
      <c r="AC29" s="6" t="s">
        <v>29</v>
      </c>
      <c r="AD29" s="9"/>
    </row>
    <row r="30" spans="1:30" ht="68.25" hidden="1" customHeight="1" x14ac:dyDescent="0.2">
      <c r="A30" s="114"/>
      <c r="B30" s="21" t="s">
        <v>105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>
        <v>1</v>
      </c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3" t="s">
        <v>111</v>
      </c>
      <c r="AB30" s="6" t="s">
        <v>29</v>
      </c>
      <c r="AC30" s="6"/>
      <c r="AD30" s="9"/>
    </row>
    <row r="31" spans="1:30" ht="68.25" hidden="1" customHeight="1" x14ac:dyDescent="0.2">
      <c r="A31" s="114"/>
      <c r="B31" s="21" t="s">
        <v>110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>
        <v>1</v>
      </c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3" t="s">
        <v>40</v>
      </c>
      <c r="AB31" s="6" t="s">
        <v>29</v>
      </c>
      <c r="AC31" s="6" t="s">
        <v>29</v>
      </c>
      <c r="AD31" s="9"/>
    </row>
    <row r="32" spans="1:30" ht="68.25" customHeight="1" x14ac:dyDescent="0.2">
      <c r="A32" s="114"/>
      <c r="B32" s="21" t="s">
        <v>103</v>
      </c>
      <c r="C32" s="22">
        <v>1</v>
      </c>
      <c r="D32" s="22">
        <v>1</v>
      </c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3" t="s">
        <v>97</v>
      </c>
      <c r="AB32" s="6" t="s">
        <v>29</v>
      </c>
      <c r="AC32" s="6"/>
      <c r="AD32" s="9"/>
    </row>
    <row r="33" spans="1:30" ht="68.25" customHeight="1" x14ac:dyDescent="0.2">
      <c r="A33" s="114"/>
      <c r="B33" s="21" t="s">
        <v>92</v>
      </c>
      <c r="C33" s="22">
        <v>1</v>
      </c>
      <c r="D33" s="22">
        <v>1</v>
      </c>
      <c r="E33" s="22">
        <v>1</v>
      </c>
      <c r="F33" s="22"/>
      <c r="G33" s="22">
        <v>1</v>
      </c>
      <c r="H33" s="22"/>
      <c r="I33" s="22">
        <v>1</v>
      </c>
      <c r="J33" s="22"/>
      <c r="K33" s="22">
        <v>1</v>
      </c>
      <c r="L33" s="22"/>
      <c r="M33" s="22">
        <v>1</v>
      </c>
      <c r="N33" s="22"/>
      <c r="O33" s="22">
        <v>1</v>
      </c>
      <c r="P33" s="22"/>
      <c r="Q33" s="22">
        <v>1</v>
      </c>
      <c r="R33" s="22"/>
      <c r="S33" s="22">
        <v>1</v>
      </c>
      <c r="T33" s="22"/>
      <c r="U33" s="22">
        <v>1</v>
      </c>
      <c r="V33" s="22"/>
      <c r="W33" s="22">
        <v>1</v>
      </c>
      <c r="X33" s="22"/>
      <c r="Y33" s="22">
        <v>1</v>
      </c>
      <c r="Z33" s="22"/>
      <c r="AA33" s="23" t="s">
        <v>93</v>
      </c>
      <c r="AB33" s="6" t="s">
        <v>29</v>
      </c>
      <c r="AC33" s="6"/>
      <c r="AD33" s="8"/>
    </row>
    <row r="34" spans="1:30" ht="68.25" hidden="1" customHeight="1" x14ac:dyDescent="0.2">
      <c r="A34" s="114"/>
      <c r="B34" s="21" t="s">
        <v>82</v>
      </c>
      <c r="C34" s="22"/>
      <c r="D34" s="22"/>
      <c r="E34" s="22">
        <v>1</v>
      </c>
      <c r="F34" s="22"/>
      <c r="G34" s="22"/>
      <c r="H34" s="22"/>
      <c r="I34" s="22"/>
      <c r="J34" s="22"/>
      <c r="K34" s="22">
        <v>1</v>
      </c>
      <c r="L34" s="22"/>
      <c r="M34" s="22"/>
      <c r="N34" s="22"/>
      <c r="O34" s="22"/>
      <c r="P34" s="22"/>
      <c r="Q34" s="22">
        <v>1</v>
      </c>
      <c r="R34" s="22"/>
      <c r="S34" s="22"/>
      <c r="T34" s="22"/>
      <c r="U34" s="22"/>
      <c r="V34" s="22"/>
      <c r="W34" s="22">
        <v>1</v>
      </c>
      <c r="X34" s="22"/>
      <c r="Y34" s="22"/>
      <c r="Z34" s="22"/>
      <c r="AA34" s="23" t="s">
        <v>83</v>
      </c>
      <c r="AB34" s="6" t="s">
        <v>29</v>
      </c>
      <c r="AC34" s="6"/>
      <c r="AD34" s="8"/>
    </row>
    <row r="35" spans="1:30" ht="68.25" hidden="1" customHeight="1" x14ac:dyDescent="0.2">
      <c r="A35" s="114"/>
      <c r="B35" s="32" t="s">
        <v>78</v>
      </c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>
        <v>1</v>
      </c>
      <c r="V35" s="22"/>
      <c r="W35" s="22"/>
      <c r="X35" s="22"/>
      <c r="Y35" s="22"/>
      <c r="Z35" s="22"/>
      <c r="AA35" s="23" t="s">
        <v>39</v>
      </c>
      <c r="AB35" s="6"/>
      <c r="AC35" s="6" t="s">
        <v>29</v>
      </c>
      <c r="AD35" s="8"/>
    </row>
    <row r="36" spans="1:30" ht="88.5" hidden="1" customHeight="1" x14ac:dyDescent="0.2">
      <c r="A36" s="114"/>
      <c r="B36" s="21" t="s">
        <v>43</v>
      </c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>
        <v>1</v>
      </c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>
        <v>1</v>
      </c>
      <c r="Z36" s="22"/>
      <c r="AA36" s="23" t="s">
        <v>93</v>
      </c>
      <c r="AB36" s="6" t="s">
        <v>29</v>
      </c>
      <c r="AC36" s="6"/>
      <c r="AD36" s="9"/>
    </row>
    <row r="37" spans="1:30" ht="60" hidden="1" customHeight="1" x14ac:dyDescent="0.2">
      <c r="A37" s="114"/>
      <c r="B37" s="21" t="s">
        <v>44</v>
      </c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>
        <v>1</v>
      </c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>
        <v>1</v>
      </c>
      <c r="Z37" s="22"/>
      <c r="AA37" s="23" t="s">
        <v>93</v>
      </c>
      <c r="AB37" s="6" t="s">
        <v>29</v>
      </c>
      <c r="AC37" s="6"/>
      <c r="AD37" s="9"/>
    </row>
    <row r="38" spans="1:30" ht="81.75" hidden="1" customHeight="1" x14ac:dyDescent="0.2">
      <c r="A38" s="105" t="s">
        <v>28</v>
      </c>
      <c r="B38" s="21" t="s">
        <v>35</v>
      </c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>
        <v>1</v>
      </c>
      <c r="X38" s="22"/>
      <c r="Y38" s="22"/>
      <c r="Z38" s="22"/>
      <c r="AA38" s="23" t="s">
        <v>39</v>
      </c>
      <c r="AB38" s="6" t="s">
        <v>29</v>
      </c>
      <c r="AC38" s="6" t="s">
        <v>29</v>
      </c>
      <c r="AD38" s="9"/>
    </row>
    <row r="39" spans="1:30" ht="52.5" hidden="1" customHeight="1" x14ac:dyDescent="0.2">
      <c r="A39" s="105"/>
      <c r="B39" s="21" t="s">
        <v>45</v>
      </c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>
        <v>1</v>
      </c>
      <c r="Z39" s="22"/>
      <c r="AA39" s="23" t="s">
        <v>40</v>
      </c>
      <c r="AB39" s="6" t="s">
        <v>29</v>
      </c>
      <c r="AC39" s="6"/>
      <c r="AD39" s="9"/>
    </row>
    <row r="40" spans="1:30" ht="77.25" hidden="1" customHeight="1" x14ac:dyDescent="0.2">
      <c r="A40" s="99" t="s">
        <v>32</v>
      </c>
      <c r="B40" s="21" t="s">
        <v>79</v>
      </c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>
        <v>1</v>
      </c>
      <c r="Z40" s="22"/>
      <c r="AA40" s="23" t="s">
        <v>97</v>
      </c>
      <c r="AB40" s="6" t="s">
        <v>29</v>
      </c>
      <c r="AC40" s="6"/>
      <c r="AD40" s="9"/>
    </row>
    <row r="41" spans="1:30" ht="52.5" hidden="1" customHeight="1" x14ac:dyDescent="0.2">
      <c r="A41" s="99"/>
      <c r="B41" s="21" t="s">
        <v>36</v>
      </c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>
        <v>1</v>
      </c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>
        <v>1</v>
      </c>
      <c r="Z41" s="22"/>
      <c r="AA41" s="23" t="s">
        <v>93</v>
      </c>
      <c r="AB41" s="6" t="s">
        <v>29</v>
      </c>
      <c r="AC41" s="6"/>
      <c r="AD41" s="9"/>
    </row>
    <row r="42" spans="1:30" ht="75" customHeight="1" x14ac:dyDescent="0.2">
      <c r="A42" s="93" t="s">
        <v>10</v>
      </c>
      <c r="B42" s="94"/>
      <c r="C42" s="24">
        <f t="shared" ref="C42:Z42" si="0">SUM(C13:C41)</f>
        <v>6</v>
      </c>
      <c r="D42" s="24">
        <f t="shared" si="0"/>
        <v>6</v>
      </c>
      <c r="E42" s="24">
        <f t="shared" si="0"/>
        <v>4</v>
      </c>
      <c r="F42" s="24">
        <f t="shared" si="0"/>
        <v>0</v>
      </c>
      <c r="G42" s="24">
        <f t="shared" si="0"/>
        <v>2</v>
      </c>
      <c r="H42" s="24">
        <f t="shared" si="0"/>
        <v>0</v>
      </c>
      <c r="I42" s="24">
        <f t="shared" si="0"/>
        <v>2</v>
      </c>
      <c r="J42" s="24">
        <f t="shared" si="0"/>
        <v>0</v>
      </c>
      <c r="K42" s="24">
        <f t="shared" si="0"/>
        <v>4</v>
      </c>
      <c r="L42" s="24">
        <f t="shared" si="0"/>
        <v>0</v>
      </c>
      <c r="M42" s="24">
        <f t="shared" si="0"/>
        <v>10</v>
      </c>
      <c r="N42" s="24">
        <f t="shared" si="0"/>
        <v>0</v>
      </c>
      <c r="O42" s="24">
        <f t="shared" si="0"/>
        <v>1</v>
      </c>
      <c r="P42" s="24">
        <f t="shared" si="0"/>
        <v>0</v>
      </c>
      <c r="Q42" s="24">
        <f t="shared" si="0"/>
        <v>3</v>
      </c>
      <c r="R42" s="24">
        <f t="shared" si="0"/>
        <v>0</v>
      </c>
      <c r="S42" s="24">
        <f t="shared" si="0"/>
        <v>1</v>
      </c>
      <c r="T42" s="24">
        <f t="shared" si="0"/>
        <v>0</v>
      </c>
      <c r="U42" s="24">
        <f t="shared" si="0"/>
        <v>3</v>
      </c>
      <c r="V42" s="24">
        <f t="shared" si="0"/>
        <v>0</v>
      </c>
      <c r="W42" s="24">
        <f t="shared" si="0"/>
        <v>4</v>
      </c>
      <c r="X42" s="24">
        <f t="shared" si="0"/>
        <v>0</v>
      </c>
      <c r="Y42" s="25">
        <f t="shared" si="0"/>
        <v>7</v>
      </c>
      <c r="Z42" s="24">
        <f t="shared" si="0"/>
        <v>0</v>
      </c>
      <c r="AA42" s="26"/>
      <c r="AB42" s="6"/>
      <c r="AC42" s="6"/>
      <c r="AD42" s="11"/>
    </row>
    <row r="43" spans="1:30" ht="21" hidden="1" customHeight="1" x14ac:dyDescent="0.2">
      <c r="A43" s="70" t="s">
        <v>7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71"/>
      <c r="AB43" s="3"/>
      <c r="AC43" s="3"/>
      <c r="AD43" s="11"/>
    </row>
    <row r="44" spans="1:30" ht="15" hidden="1" customHeight="1" x14ac:dyDescent="0.2">
      <c r="A44" s="81" t="s">
        <v>57</v>
      </c>
      <c r="B44" s="82"/>
      <c r="C44" s="82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2"/>
      <c r="Q44" s="82"/>
      <c r="R44" s="82"/>
      <c r="S44" s="82"/>
      <c r="T44" s="82"/>
      <c r="U44" s="82"/>
      <c r="V44" s="82"/>
      <c r="W44" s="82"/>
      <c r="X44" s="82"/>
      <c r="Y44" s="82"/>
      <c r="Z44" s="82"/>
      <c r="AA44" s="82"/>
      <c r="AB44" s="82"/>
      <c r="AC44" s="82"/>
      <c r="AD44" s="83"/>
    </row>
    <row r="45" spans="1:30" s="4" customFormat="1" ht="8.25" customHeight="1" thickBot="1" x14ac:dyDescent="0.25">
      <c r="A45" s="72"/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4"/>
      <c r="AB45" s="74"/>
      <c r="AC45" s="74"/>
      <c r="AD45" s="75"/>
    </row>
    <row r="46" spans="1:30" ht="24" customHeight="1" x14ac:dyDescent="0.2">
      <c r="A46" s="70" t="s">
        <v>71</v>
      </c>
      <c r="B46" s="71"/>
      <c r="C46" s="76" t="s">
        <v>58</v>
      </c>
      <c r="D46" s="77"/>
      <c r="E46" s="76" t="s">
        <v>59</v>
      </c>
      <c r="F46" s="77"/>
      <c r="G46" s="76" t="s">
        <v>60</v>
      </c>
      <c r="H46" s="77"/>
      <c r="I46" s="76" t="s">
        <v>61</v>
      </c>
      <c r="J46" s="77"/>
      <c r="K46" s="76" t="s">
        <v>62</v>
      </c>
      <c r="L46" s="77"/>
      <c r="M46" s="76" t="s">
        <v>63</v>
      </c>
      <c r="N46" s="77"/>
      <c r="O46" s="76" t="s">
        <v>64</v>
      </c>
      <c r="P46" s="77"/>
      <c r="Q46" s="76" t="s">
        <v>65</v>
      </c>
      <c r="R46" s="77"/>
      <c r="S46" s="76" t="s">
        <v>66</v>
      </c>
      <c r="T46" s="77"/>
      <c r="U46" s="76" t="s">
        <v>67</v>
      </c>
      <c r="V46" s="77"/>
      <c r="W46" s="76" t="s">
        <v>68</v>
      </c>
      <c r="X46" s="77"/>
      <c r="Y46" s="76" t="s">
        <v>69</v>
      </c>
      <c r="Z46" s="86"/>
      <c r="AA46" s="102" t="s">
        <v>4</v>
      </c>
      <c r="AB46" s="103"/>
      <c r="AC46" s="103"/>
      <c r="AD46" s="104"/>
    </row>
    <row r="47" spans="1:30" ht="23.1" customHeight="1" thickBot="1" x14ac:dyDescent="0.25">
      <c r="A47" s="68" t="s">
        <v>11</v>
      </c>
      <c r="B47" s="69"/>
      <c r="C47" s="13">
        <f>SUM(C42)</f>
        <v>6</v>
      </c>
      <c r="D47" s="13">
        <f t="shared" ref="D47:Z47" si="1">D42</f>
        <v>6</v>
      </c>
      <c r="E47" s="13">
        <f t="shared" si="1"/>
        <v>4</v>
      </c>
      <c r="F47" s="13">
        <f t="shared" si="1"/>
        <v>0</v>
      </c>
      <c r="G47" s="13">
        <f t="shared" si="1"/>
        <v>2</v>
      </c>
      <c r="H47" s="13">
        <f t="shared" si="1"/>
        <v>0</v>
      </c>
      <c r="I47" s="13">
        <f t="shared" si="1"/>
        <v>2</v>
      </c>
      <c r="J47" s="13">
        <f t="shared" si="1"/>
        <v>0</v>
      </c>
      <c r="K47" s="13">
        <f t="shared" si="1"/>
        <v>4</v>
      </c>
      <c r="L47" s="13">
        <f t="shared" si="1"/>
        <v>0</v>
      </c>
      <c r="M47" s="13">
        <f t="shared" si="1"/>
        <v>10</v>
      </c>
      <c r="N47" s="13">
        <f t="shared" si="1"/>
        <v>0</v>
      </c>
      <c r="O47" s="13">
        <f t="shared" si="1"/>
        <v>1</v>
      </c>
      <c r="P47" s="13">
        <f t="shared" si="1"/>
        <v>0</v>
      </c>
      <c r="Q47" s="13">
        <f t="shared" si="1"/>
        <v>3</v>
      </c>
      <c r="R47" s="13">
        <f t="shared" si="1"/>
        <v>0</v>
      </c>
      <c r="S47" s="13">
        <f t="shared" si="1"/>
        <v>1</v>
      </c>
      <c r="T47" s="13">
        <f t="shared" si="1"/>
        <v>0</v>
      </c>
      <c r="U47" s="13">
        <f t="shared" si="1"/>
        <v>3</v>
      </c>
      <c r="V47" s="13">
        <f t="shared" si="1"/>
        <v>0</v>
      </c>
      <c r="W47" s="13">
        <f t="shared" si="1"/>
        <v>4</v>
      </c>
      <c r="X47" s="13">
        <f t="shared" si="1"/>
        <v>0</v>
      </c>
      <c r="Y47" s="13">
        <f t="shared" si="1"/>
        <v>7</v>
      </c>
      <c r="Z47" s="14">
        <f t="shared" si="1"/>
        <v>0</v>
      </c>
      <c r="AA47" s="79">
        <f>C47+E47+G47+I47+K47+M47+O47+Q47+S47+U47+W47+Y47</f>
        <v>47</v>
      </c>
      <c r="AB47" s="84">
        <f>D47+F47+H47+J47+L47+N47+P47+R47+T47+V47+X47+Z47</f>
        <v>6</v>
      </c>
      <c r="AC47" s="84"/>
      <c r="AD47" s="28">
        <f>AB47/AA47</f>
        <v>0.1276595744680851</v>
      </c>
    </row>
    <row r="48" spans="1:30" ht="18" customHeight="1" x14ac:dyDescent="0.2">
      <c r="A48" s="68" t="s">
        <v>70</v>
      </c>
      <c r="B48" s="69"/>
      <c r="C48" s="43">
        <f>D47/C47</f>
        <v>1</v>
      </c>
      <c r="D48" s="44"/>
      <c r="E48" s="43">
        <f>F47/E47</f>
        <v>0</v>
      </c>
      <c r="F48" s="44"/>
      <c r="G48" s="43">
        <f>H47/G47</f>
        <v>0</v>
      </c>
      <c r="H48" s="44"/>
      <c r="I48" s="43">
        <f>J47/I47</f>
        <v>0</v>
      </c>
      <c r="J48" s="44"/>
      <c r="K48" s="43">
        <f>L47/K47</f>
        <v>0</v>
      </c>
      <c r="L48" s="44"/>
      <c r="M48" s="43">
        <f>N47/M47</f>
        <v>0</v>
      </c>
      <c r="N48" s="44"/>
      <c r="O48" s="43">
        <f>P47/O47</f>
        <v>0</v>
      </c>
      <c r="P48" s="44"/>
      <c r="Q48" s="43">
        <f>R47/Q47</f>
        <v>0</v>
      </c>
      <c r="R48" s="44"/>
      <c r="S48" s="43">
        <f>T47/S47</f>
        <v>0</v>
      </c>
      <c r="T48" s="44"/>
      <c r="U48" s="43">
        <f>V47/U47</f>
        <v>0</v>
      </c>
      <c r="V48" s="44"/>
      <c r="W48" s="43">
        <f>X47/W47</f>
        <v>0</v>
      </c>
      <c r="X48" s="44"/>
      <c r="Y48" s="43">
        <f>Z47/Y47</f>
        <v>0</v>
      </c>
      <c r="Z48" s="45"/>
      <c r="AA48" s="79"/>
      <c r="AB48" s="84"/>
      <c r="AC48" s="85"/>
      <c r="AD48" s="29" t="s">
        <v>5</v>
      </c>
    </row>
    <row r="49" spans="1:30" ht="23.25" customHeight="1" thickBot="1" x14ac:dyDescent="0.25">
      <c r="A49" s="60" t="s">
        <v>24</v>
      </c>
      <c r="B49" s="61"/>
      <c r="C49" s="49">
        <v>0.9</v>
      </c>
      <c r="D49" s="51"/>
      <c r="E49" s="49">
        <v>0.9</v>
      </c>
      <c r="F49" s="51"/>
      <c r="G49" s="49">
        <v>0.9</v>
      </c>
      <c r="H49" s="51"/>
      <c r="I49" s="49">
        <v>0.9</v>
      </c>
      <c r="J49" s="51"/>
      <c r="K49" s="49">
        <v>0.9</v>
      </c>
      <c r="L49" s="51"/>
      <c r="M49" s="49">
        <v>0.9</v>
      </c>
      <c r="N49" s="51"/>
      <c r="O49" s="49">
        <v>0.9</v>
      </c>
      <c r="P49" s="51"/>
      <c r="Q49" s="49">
        <v>0.9</v>
      </c>
      <c r="R49" s="51"/>
      <c r="S49" s="49">
        <v>0.9</v>
      </c>
      <c r="T49" s="51"/>
      <c r="U49" s="49">
        <v>0.9</v>
      </c>
      <c r="V49" s="51"/>
      <c r="W49" s="49">
        <v>0.9</v>
      </c>
      <c r="X49" s="51"/>
      <c r="Y49" s="49">
        <v>0.9</v>
      </c>
      <c r="Z49" s="50"/>
      <c r="AA49" s="15" t="s">
        <v>25</v>
      </c>
      <c r="AB49" s="47" t="s">
        <v>26</v>
      </c>
      <c r="AC49" s="48"/>
      <c r="AD49" s="30">
        <v>0.9</v>
      </c>
    </row>
    <row r="50" spans="1:30" x14ac:dyDescent="0.2">
      <c r="A50" s="52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4"/>
      <c r="AB50" s="54"/>
      <c r="AC50" s="54"/>
      <c r="AD50" s="55"/>
    </row>
    <row r="51" spans="1:30" x14ac:dyDescent="0.2">
      <c r="A51" s="56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5"/>
    </row>
    <row r="52" spans="1:30" x14ac:dyDescent="0.2">
      <c r="A52" s="56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5"/>
    </row>
    <row r="53" spans="1:30" x14ac:dyDescent="0.2">
      <c r="A53" s="56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5"/>
    </row>
    <row r="54" spans="1:30" x14ac:dyDescent="0.2">
      <c r="A54" s="56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5"/>
    </row>
    <row r="55" spans="1:30" x14ac:dyDescent="0.2">
      <c r="A55" s="56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5"/>
    </row>
    <row r="56" spans="1:30" x14ac:dyDescent="0.2">
      <c r="A56" s="56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5"/>
    </row>
    <row r="57" spans="1:30" x14ac:dyDescent="0.2">
      <c r="A57" s="56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5"/>
    </row>
    <row r="58" spans="1:30" x14ac:dyDescent="0.2">
      <c r="A58" s="56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5"/>
    </row>
    <row r="59" spans="1:30" x14ac:dyDescent="0.2">
      <c r="A59" s="56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5"/>
    </row>
    <row r="60" spans="1:30" x14ac:dyDescent="0.2">
      <c r="A60" s="56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5"/>
    </row>
    <row r="61" spans="1:30" x14ac:dyDescent="0.2">
      <c r="A61" s="56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5"/>
    </row>
    <row r="62" spans="1:30" x14ac:dyDescent="0.2">
      <c r="A62" s="56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5"/>
    </row>
    <row r="63" spans="1:30" x14ac:dyDescent="0.2">
      <c r="A63" s="56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5"/>
    </row>
    <row r="64" spans="1:30" x14ac:dyDescent="0.2">
      <c r="A64" s="56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5"/>
    </row>
    <row r="65" spans="1:30" x14ac:dyDescent="0.2">
      <c r="A65" s="56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5"/>
    </row>
    <row r="66" spans="1:30" x14ac:dyDescent="0.2">
      <c r="A66" s="56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5"/>
    </row>
    <row r="67" spans="1:30" ht="11.25" customHeight="1" thickBot="1" x14ac:dyDescent="0.25">
      <c r="A67" s="57"/>
      <c r="B67" s="58"/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9"/>
    </row>
    <row r="68" spans="1:30" s="18" customFormat="1" ht="26.25" customHeight="1" x14ac:dyDescent="0.2">
      <c r="A68" s="46" t="s">
        <v>80</v>
      </c>
      <c r="B68" s="38"/>
      <c r="C68" s="38" t="s">
        <v>46</v>
      </c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 t="s">
        <v>47</v>
      </c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 t="s">
        <v>48</v>
      </c>
      <c r="AB68" s="38"/>
      <c r="AC68" s="38"/>
      <c r="AD68" s="39"/>
    </row>
    <row r="69" spans="1:30" s="17" customFormat="1" ht="121.5" customHeight="1" thickBot="1" x14ac:dyDescent="0.3">
      <c r="A69" s="36" t="s">
        <v>102</v>
      </c>
      <c r="B69" s="37"/>
      <c r="C69" s="40" t="s">
        <v>88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0" t="s">
        <v>87</v>
      </c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0" t="s">
        <v>89</v>
      </c>
      <c r="AB69" s="41"/>
      <c r="AC69" s="41"/>
      <c r="AD69" s="42"/>
    </row>
  </sheetData>
  <autoFilter ref="A11:AF44" xr:uid="{5B4ACDEF-A0C5-4F90-9F28-2A7E2342F545}">
    <filterColumn colId="2" showButton="0">
      <customFilters>
        <customFilter operator="notEqual" val=" "/>
      </customFilters>
    </filterColumn>
    <filterColumn colId="4" showButton="0"/>
    <filterColumn colId="6" showButton="0"/>
    <filterColumn colId="8" showButton="0"/>
    <filterColumn colId="10" showButton="0"/>
    <filterColumn colId="12" showButton="0"/>
    <filterColumn colId="14" showButton="0"/>
    <filterColumn colId="16" showButton="0"/>
    <filterColumn colId="18" showButton="0"/>
    <filterColumn colId="20" showButton="0"/>
    <filterColumn colId="22" showButton="0"/>
    <filterColumn colId="24" showButton="0"/>
  </autoFilter>
  <mergeCells count="97">
    <mergeCell ref="AA46:AD46"/>
    <mergeCell ref="E46:F46"/>
    <mergeCell ref="A38:A39"/>
    <mergeCell ref="A1:B3"/>
    <mergeCell ref="A9:AD9"/>
    <mergeCell ref="A10:A12"/>
    <mergeCell ref="AB11:AB12"/>
    <mergeCell ref="A28:A37"/>
    <mergeCell ref="C11:D11"/>
    <mergeCell ref="B10:B12"/>
    <mergeCell ref="Y8:AD8"/>
    <mergeCell ref="S11:T11"/>
    <mergeCell ref="I11:J11"/>
    <mergeCell ref="A13:A27"/>
    <mergeCell ref="C10:Z10"/>
    <mergeCell ref="U11:V11"/>
    <mergeCell ref="W11:X11"/>
    <mergeCell ref="Y11:Z11"/>
    <mergeCell ref="E11:F11"/>
    <mergeCell ref="K11:L11"/>
    <mergeCell ref="M11:N11"/>
    <mergeCell ref="C46:D46"/>
    <mergeCell ref="AB47:AC48"/>
    <mergeCell ref="W46:X46"/>
    <mergeCell ref="Y46:Z46"/>
    <mergeCell ref="A4:AD4"/>
    <mergeCell ref="A5:AD5"/>
    <mergeCell ref="A6:AD6"/>
    <mergeCell ref="A42:B42"/>
    <mergeCell ref="Q11:R11"/>
    <mergeCell ref="AA10:AA12"/>
    <mergeCell ref="A40:A41"/>
    <mergeCell ref="Y7:AD7"/>
    <mergeCell ref="AB10:AC10"/>
    <mergeCell ref="AD10:AD12"/>
    <mergeCell ref="O11:P11"/>
    <mergeCell ref="G11:H11"/>
    <mergeCell ref="C49:D49"/>
    <mergeCell ref="U48:V48"/>
    <mergeCell ref="AC11:AC12"/>
    <mergeCell ref="G46:H46"/>
    <mergeCell ref="I46:J46"/>
    <mergeCell ref="K46:L46"/>
    <mergeCell ref="M46:N46"/>
    <mergeCell ref="O46:P46"/>
    <mergeCell ref="Q46:R46"/>
    <mergeCell ref="AA47:AA48"/>
    <mergeCell ref="K48:L48"/>
    <mergeCell ref="M48:N48"/>
    <mergeCell ref="Q49:R49"/>
    <mergeCell ref="S49:T49"/>
    <mergeCell ref="A43:AA43"/>
    <mergeCell ref="A44:AD44"/>
    <mergeCell ref="G7:X7"/>
    <mergeCell ref="G8:X8"/>
    <mergeCell ref="A7:F7"/>
    <mergeCell ref="A8:F8"/>
    <mergeCell ref="Q48:R48"/>
    <mergeCell ref="C48:D48"/>
    <mergeCell ref="E48:F48"/>
    <mergeCell ref="G48:H48"/>
    <mergeCell ref="I48:J48"/>
    <mergeCell ref="O48:P48"/>
    <mergeCell ref="A47:B47"/>
    <mergeCell ref="A46:B46"/>
    <mergeCell ref="A48:B48"/>
    <mergeCell ref="A45:AD45"/>
    <mergeCell ref="S46:T46"/>
    <mergeCell ref="U46:V46"/>
    <mergeCell ref="W48:X48"/>
    <mergeCell ref="Y48:Z48"/>
    <mergeCell ref="S48:T48"/>
    <mergeCell ref="A68:B68"/>
    <mergeCell ref="AB49:AC49"/>
    <mergeCell ref="Y49:Z49"/>
    <mergeCell ref="E49:F49"/>
    <mergeCell ref="G49:H49"/>
    <mergeCell ref="O49:P49"/>
    <mergeCell ref="U49:V49"/>
    <mergeCell ref="W49:X49"/>
    <mergeCell ref="I49:J49"/>
    <mergeCell ref="K49:L49"/>
    <mergeCell ref="M49:N49"/>
    <mergeCell ref="A50:AD67"/>
    <mergeCell ref="A49:B49"/>
    <mergeCell ref="A69:B69"/>
    <mergeCell ref="AA68:AD68"/>
    <mergeCell ref="O68:Z68"/>
    <mergeCell ref="C68:N68"/>
    <mergeCell ref="C69:N69"/>
    <mergeCell ref="O69:Z69"/>
    <mergeCell ref="AA69:AD69"/>
    <mergeCell ref="C1:AA1"/>
    <mergeCell ref="C2:AA3"/>
    <mergeCell ref="AB1:AD1"/>
    <mergeCell ref="AB2:AD2"/>
    <mergeCell ref="AB3:AD3"/>
  </mergeCells>
  <conditionalFormatting sqref="C48:C49 E48:E49 G48:G49 K48:K49 O48:O49 S48:S49 W48:W49 I48:I49 M48:M49 Q48:Q49 U48:U49 Y48:Y49 AB13:AC15 AB17:AC17 AB35:AC42 AB20:AC28 C13:Z42 AB30:AC32">
    <cfRule type="cellIs" dxfId="47" priority="395" operator="between">
      <formula>1</formula>
      <formula>9</formula>
    </cfRule>
    <cfRule type="cellIs" dxfId="46" priority="396" stopIfTrue="1" operator="equal">
      <formula>0</formula>
    </cfRule>
    <cfRule type="cellIs" dxfId="45" priority="397" stopIfTrue="1" operator="equal">
      <formula>0</formula>
    </cfRule>
    <cfRule type="cellIs" dxfId="44" priority="398" stopIfTrue="1" operator="equal">
      <formula>0</formula>
    </cfRule>
    <cfRule type="cellIs" dxfId="43" priority="399" stopIfTrue="1" operator="equal">
      <formula>0</formula>
    </cfRule>
    <cfRule type="cellIs" dxfId="42" priority="400" stopIfTrue="1" operator="equal">
      <formula>1</formula>
    </cfRule>
  </conditionalFormatting>
  <conditionalFormatting sqref="C48:C49 E48:E49 G48:G49 K48:K49 O48:O49 S48:S49 W48:W49 I48:I49 M48:M49 Q48:Q49 U48:U49 Y48:Y49 AB13:AC15 AB17:AC17 AB35:AC42 AB20:AC28 C13:Z42 AB30:AC32">
    <cfRule type="cellIs" dxfId="41" priority="394" operator="equal">
      <formula>0</formula>
    </cfRule>
  </conditionalFormatting>
  <conditionalFormatting sqref="C48:C49 E48:E49 G48:G49 K48:K49 O48:O49 S48:S49 W48:W49 I48:I49 M48:M49 Q48:Q49 U48:U49 Y48:Y49 AB13:AC15 AB17:AC17 AB35:AC42 AB20:AC28 C13:Z42 AB30:AC32">
    <cfRule type="cellIs" dxfId="40" priority="393" stopIfTrue="1" operator="equal">
      <formula>0</formula>
    </cfRule>
  </conditionalFormatting>
  <conditionalFormatting sqref="AB16:AC16">
    <cfRule type="cellIs" dxfId="39" priority="35" operator="between">
      <formula>1</formula>
      <formula>9</formula>
    </cfRule>
    <cfRule type="cellIs" dxfId="38" priority="36" stopIfTrue="1" operator="equal">
      <formula>0</formula>
    </cfRule>
    <cfRule type="cellIs" dxfId="37" priority="37" stopIfTrue="1" operator="equal">
      <formula>0</formula>
    </cfRule>
    <cfRule type="cellIs" dxfId="36" priority="38" stopIfTrue="1" operator="equal">
      <formula>0</formula>
    </cfRule>
    <cfRule type="cellIs" dxfId="35" priority="39" stopIfTrue="1" operator="equal">
      <formula>0</formula>
    </cfRule>
    <cfRule type="cellIs" dxfId="34" priority="40" stopIfTrue="1" operator="equal">
      <formula>1</formula>
    </cfRule>
  </conditionalFormatting>
  <conditionalFormatting sqref="AB16:AC16">
    <cfRule type="cellIs" dxfId="33" priority="34" operator="equal">
      <formula>0</formula>
    </cfRule>
  </conditionalFormatting>
  <conditionalFormatting sqref="AB16:AC16">
    <cfRule type="cellIs" dxfId="32" priority="33" stopIfTrue="1" operator="equal">
      <formula>0</formula>
    </cfRule>
  </conditionalFormatting>
  <conditionalFormatting sqref="AB18:AC19">
    <cfRule type="cellIs" dxfId="31" priority="27" operator="between">
      <formula>1</formula>
      <formula>9</formula>
    </cfRule>
    <cfRule type="cellIs" dxfId="30" priority="28" stopIfTrue="1" operator="equal">
      <formula>0</formula>
    </cfRule>
    <cfRule type="cellIs" dxfId="29" priority="29" stopIfTrue="1" operator="equal">
      <formula>0</formula>
    </cfRule>
    <cfRule type="cellIs" dxfId="28" priority="30" stopIfTrue="1" operator="equal">
      <formula>0</formula>
    </cfRule>
    <cfRule type="cellIs" dxfId="27" priority="31" stopIfTrue="1" operator="equal">
      <formula>0</formula>
    </cfRule>
    <cfRule type="cellIs" dxfId="26" priority="32" stopIfTrue="1" operator="equal">
      <formula>1</formula>
    </cfRule>
  </conditionalFormatting>
  <conditionalFormatting sqref="AB18:AC19">
    <cfRule type="cellIs" dxfId="25" priority="26" operator="equal">
      <formula>0</formula>
    </cfRule>
  </conditionalFormatting>
  <conditionalFormatting sqref="AB18:AC19">
    <cfRule type="cellIs" dxfId="24" priority="25" stopIfTrue="1" operator="equal">
      <formula>0</formula>
    </cfRule>
  </conditionalFormatting>
  <conditionalFormatting sqref="AB33:AC33">
    <cfRule type="cellIs" dxfId="23" priority="19" operator="between">
      <formula>1</formula>
      <formula>9</formula>
    </cfRule>
    <cfRule type="cellIs" dxfId="22" priority="20" stopIfTrue="1" operator="equal">
      <formula>0</formula>
    </cfRule>
    <cfRule type="cellIs" dxfId="21" priority="21" stopIfTrue="1" operator="equal">
      <formula>0</formula>
    </cfRule>
    <cfRule type="cellIs" dxfId="20" priority="22" stopIfTrue="1" operator="equal">
      <formula>0</formula>
    </cfRule>
    <cfRule type="cellIs" dxfId="19" priority="23" stopIfTrue="1" operator="equal">
      <formula>0</formula>
    </cfRule>
    <cfRule type="cellIs" dxfId="18" priority="24" stopIfTrue="1" operator="equal">
      <formula>1</formula>
    </cfRule>
  </conditionalFormatting>
  <conditionalFormatting sqref="AB33:AC33">
    <cfRule type="cellIs" dxfId="17" priority="18" operator="equal">
      <formula>0</formula>
    </cfRule>
  </conditionalFormatting>
  <conditionalFormatting sqref="AB33:AC33">
    <cfRule type="cellIs" dxfId="16" priority="17" stopIfTrue="1" operator="equal">
      <formula>0</formula>
    </cfRule>
  </conditionalFormatting>
  <conditionalFormatting sqref="AB34:AC34">
    <cfRule type="cellIs" dxfId="15" priority="11" operator="between">
      <formula>1</formula>
      <formula>9</formula>
    </cfRule>
    <cfRule type="cellIs" dxfId="14" priority="12" stopIfTrue="1" operator="equal">
      <formula>0</formula>
    </cfRule>
    <cfRule type="cellIs" dxfId="13" priority="13" stopIfTrue="1" operator="equal">
      <formula>0</formula>
    </cfRule>
    <cfRule type="cellIs" dxfId="12" priority="14" stopIfTrue="1" operator="equal">
      <formula>0</formula>
    </cfRule>
    <cfRule type="cellIs" dxfId="11" priority="15" stopIfTrue="1" operator="equal">
      <formula>0</formula>
    </cfRule>
    <cfRule type="cellIs" dxfId="10" priority="16" stopIfTrue="1" operator="equal">
      <formula>1</formula>
    </cfRule>
  </conditionalFormatting>
  <conditionalFormatting sqref="AB34:AC34">
    <cfRule type="cellIs" dxfId="9" priority="10" operator="equal">
      <formula>0</formula>
    </cfRule>
  </conditionalFormatting>
  <conditionalFormatting sqref="AB34:AC34">
    <cfRule type="cellIs" dxfId="8" priority="9" stopIfTrue="1" operator="equal">
      <formula>0</formula>
    </cfRule>
  </conditionalFormatting>
  <conditionalFormatting sqref="AB29:AC29">
    <cfRule type="cellIs" dxfId="7" priority="3" operator="between">
      <formula>1</formula>
      <formula>9</formula>
    </cfRule>
    <cfRule type="cellIs" dxfId="6" priority="4" stopIfTrue="1" operator="equal">
      <formula>0</formula>
    </cfRule>
    <cfRule type="cellIs" dxfId="5" priority="5" stopIfTrue="1" operator="equal">
      <formula>0</formula>
    </cfRule>
    <cfRule type="cellIs" dxfId="4" priority="6" stopIfTrue="1" operator="equal">
      <formula>0</formula>
    </cfRule>
    <cfRule type="cellIs" dxfId="3" priority="7" stopIfTrue="1" operator="equal">
      <formula>0</formula>
    </cfRule>
    <cfRule type="cellIs" dxfId="2" priority="8" stopIfTrue="1" operator="equal">
      <formula>1</formula>
    </cfRule>
  </conditionalFormatting>
  <conditionalFormatting sqref="AB29:AC29">
    <cfRule type="cellIs" dxfId="1" priority="2" operator="equal">
      <formula>0</formula>
    </cfRule>
  </conditionalFormatting>
  <conditionalFormatting sqref="AB29:AC29">
    <cfRule type="cellIs" dxfId="0" priority="1" stopIfTrue="1" operator="equal">
      <formula>0</formula>
    </cfRule>
  </conditionalFormatting>
  <printOptions horizontalCentered="1"/>
  <pageMargins left="0.39370078740157483" right="0.39370078740157483" top="0.59055118110236227" bottom="0.59055118110236227" header="0" footer="0"/>
  <pageSetup scale="45" fitToHeight="2" orientation="portrait" r:id="rId1"/>
  <headerFooter alignWithMargins="0"/>
  <rowBreaks count="1" manualBreakCount="1">
    <brk id="35" max="29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 Plan de Trabajo SST</vt:lpstr>
      <vt:lpstr>' Plan de Trabajo SST'!Área_de_impresión</vt:lpstr>
      <vt:lpstr>' Plan de Trabajo SST'!Títulos_a_imprimir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2023-02-11T19:49:14Z</cp:lastPrinted>
  <dcterms:created xsi:type="dcterms:W3CDTF">2008-10-02T15:12:04Z</dcterms:created>
  <dcterms:modified xsi:type="dcterms:W3CDTF">2023-02-18T20:41:56Z</dcterms:modified>
</cp:coreProperties>
</file>