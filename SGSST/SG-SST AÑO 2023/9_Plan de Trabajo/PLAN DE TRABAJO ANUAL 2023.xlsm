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1601" codeName="{009DFEA7-8C9C-09C3-8CAF-802165E75F88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usuario\Documents\GitHub\Excavaciones-Corrrea-Mejia\SGSST\SG-SST AÑO 2023\9_Plan de Trabajo\"/>
    </mc:Choice>
  </mc:AlternateContent>
  <xr:revisionPtr revIDLastSave="0" documentId="13_ncr:1_{09390AE6-A82C-43EF-9A42-EF3C2824D007}" xr6:coauthVersionLast="43" xr6:coauthVersionMax="43" xr10:uidLastSave="{00000000-0000-0000-0000-000000000000}"/>
  <bookViews>
    <workbookView xWindow="-120" yWindow="-120" windowWidth="20730" windowHeight="11160" tabRatio="584" xr2:uid="{00000000-000D-0000-FFFF-FFFF00000000}"/>
  </bookViews>
  <sheets>
    <sheet name=" Plan de Trabajo SST" sheetId="5" r:id="rId1"/>
  </sheets>
  <definedNames>
    <definedName name="_xlnm._FilterDatabase" localSheetId="0" hidden="1">' Plan de Trabajo SST'!$A$12:$AF$44</definedName>
    <definedName name="_xlnm.Print_Area" localSheetId="0">' Plan de Trabajo SST'!$A$1:$AD$69</definedName>
    <definedName name="_xlnm.Print_Titles" localSheetId="0">' Plan de Trabajo SST'!$10:$12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C42" i="5" l="1"/>
  <c r="K42" i="5"/>
  <c r="C47" i="5" l="1"/>
  <c r="Z42" i="5"/>
  <c r="Z47" i="5" s="1"/>
  <c r="Y42" i="5"/>
  <c r="Y47" i="5" s="1"/>
  <c r="X42" i="5"/>
  <c r="X47" i="5" s="1"/>
  <c r="W42" i="5"/>
  <c r="W47" i="5" s="1"/>
  <c r="V42" i="5"/>
  <c r="V47" i="5" s="1"/>
  <c r="U42" i="5"/>
  <c r="U47" i="5" s="1"/>
  <c r="T42" i="5"/>
  <c r="T47" i="5" s="1"/>
  <c r="S42" i="5"/>
  <c r="S47" i="5" s="1"/>
  <c r="R42" i="5"/>
  <c r="R47" i="5" s="1"/>
  <c r="Q42" i="5"/>
  <c r="Q47" i="5" s="1"/>
  <c r="P42" i="5"/>
  <c r="P47" i="5" s="1"/>
  <c r="O42" i="5"/>
  <c r="O47" i="5" s="1"/>
  <c r="N42" i="5"/>
  <c r="N47" i="5" s="1"/>
  <c r="M42" i="5"/>
  <c r="M47" i="5" s="1"/>
  <c r="L42" i="5"/>
  <c r="L47" i="5" s="1"/>
  <c r="K47" i="5"/>
  <c r="J42" i="5"/>
  <c r="J47" i="5" s="1"/>
  <c r="I42" i="5"/>
  <c r="I47" i="5" s="1"/>
  <c r="H42" i="5"/>
  <c r="H47" i="5" s="1"/>
  <c r="G42" i="5"/>
  <c r="G47" i="5" s="1"/>
  <c r="F42" i="5"/>
  <c r="F47" i="5" s="1"/>
  <c r="E42" i="5"/>
  <c r="E47" i="5" s="1"/>
  <c r="D42" i="5"/>
  <c r="D47" i="5" s="1"/>
  <c r="G48" i="5" l="1"/>
  <c r="O48" i="5"/>
  <c r="E48" i="5"/>
  <c r="K48" i="5"/>
  <c r="Q48" i="5"/>
  <c r="W48" i="5"/>
  <c r="S48" i="5"/>
  <c r="Y48" i="5"/>
  <c r="U48" i="5"/>
  <c r="I48" i="5"/>
  <c r="M48" i="5"/>
  <c r="AB47" i="5"/>
  <c r="C48" i="5"/>
  <c r="AA47" i="5"/>
  <c r="AD47" i="5" l="1"/>
</calcChain>
</file>

<file path=xl/sharedStrings.xml><?xml version="1.0" encoding="utf-8"?>
<sst xmlns="http://schemas.openxmlformats.org/spreadsheetml/2006/main" count="188" uniqueCount="115">
  <si>
    <t>OBJETIVO</t>
  </si>
  <si>
    <t>INDICADOR</t>
  </si>
  <si>
    <t>P</t>
  </si>
  <si>
    <t>E</t>
  </si>
  <si>
    <t>CUMPLIMIENTO ANUAL</t>
  </si>
  <si>
    <t>META</t>
  </si>
  <si>
    <t>(Nº de Actividades Ejecutadas / Nº de Actividades Programadas) x 100</t>
  </si>
  <si>
    <t>% COBERTURA DEL PROGRAMA</t>
  </si>
  <si>
    <t xml:space="preserve">Responsable (s) </t>
  </si>
  <si>
    <t>OBSERVACIONES</t>
  </si>
  <si>
    <t>Total Actividades</t>
  </si>
  <si>
    <t>Actividades Programadas en el Mes</t>
  </si>
  <si>
    <t>JULIO</t>
  </si>
  <si>
    <t>AGOSTO</t>
  </si>
  <si>
    <t>SEPTIEMBRE</t>
  </si>
  <si>
    <t>OCTUBRE</t>
  </si>
  <si>
    <t>NOVIEMBRE</t>
  </si>
  <si>
    <t>ENERO</t>
  </si>
  <si>
    <t>FEBRERO</t>
  </si>
  <si>
    <t>MARZO</t>
  </si>
  <si>
    <t>ABRIL</t>
  </si>
  <si>
    <t>MAYO</t>
  </si>
  <si>
    <t>JUNIO</t>
  </si>
  <si>
    <t>DICIEMBRE</t>
  </si>
  <si>
    <t>% Cumplimiento Meta en el Mes</t>
  </si>
  <si>
    <t>Programado</t>
  </si>
  <si>
    <t>Ejecutado</t>
  </si>
  <si>
    <t>II HACER</t>
  </si>
  <si>
    <t>III VERIFICAR</t>
  </si>
  <si>
    <t>x</t>
  </si>
  <si>
    <t>RECURSOS</t>
  </si>
  <si>
    <t>Financieros</t>
  </si>
  <si>
    <t>IV ACTUAR</t>
  </si>
  <si>
    <t>I PLANEAR</t>
  </si>
  <si>
    <t xml:space="preserve">Humano </t>
  </si>
  <si>
    <t xml:space="preserve">Auditoria anual </t>
  </si>
  <si>
    <t>Seguimiento a ausentismo laboral</t>
  </si>
  <si>
    <t>Ciclo PHVA</t>
  </si>
  <si>
    <t>ACTIVIDADES</t>
  </si>
  <si>
    <t>Externo</t>
  </si>
  <si>
    <t>Gerencia</t>
  </si>
  <si>
    <t>Cumplimiento del 90% de las actividades planeadas</t>
  </si>
  <si>
    <t>Informe de rendición de cuentas sobre desempeño SST</t>
  </si>
  <si>
    <t>Análisis de accidentalidad</t>
  </si>
  <si>
    <t>Análisis de indicadores</t>
  </si>
  <si>
    <t>Revisión anual por la Gerencia al SST</t>
  </si>
  <si>
    <t>ELABORO</t>
  </si>
  <si>
    <t>REVISO</t>
  </si>
  <si>
    <t>APROBO</t>
  </si>
  <si>
    <t xml:space="preserve">PLAN DE TRABAJO ANUAL DE SEGURIDAD Y SALUD EN EL TRABAJO </t>
  </si>
  <si>
    <t xml:space="preserve">Responsable del SG SST </t>
  </si>
  <si>
    <t>Responsable del SG SST</t>
  </si>
  <si>
    <t>PERIODO EVALUADO</t>
  </si>
  <si>
    <t>CRONOGRAMA</t>
  </si>
  <si>
    <t>Revision y actualizacion de todos los procedimientos desarrollados en el diseño del SG SST</t>
  </si>
  <si>
    <t>inspección de botiquín y extintores</t>
  </si>
  <si>
    <t>Realizar exámenes medico ocupacionales periodico</t>
  </si>
  <si>
    <t>MONITOREO DEL PLAN DE TRABAJO ANUAL /VIGENCIA</t>
  </si>
  <si>
    <t>ENE</t>
  </si>
  <si>
    <t>FEB</t>
  </si>
  <si>
    <t>MAR</t>
  </si>
  <si>
    <t>ABR</t>
  </si>
  <si>
    <t>MAY</t>
  </si>
  <si>
    <t>JUN</t>
  </si>
  <si>
    <t>JUL</t>
  </si>
  <si>
    <t>AGO</t>
  </si>
  <si>
    <t>SEP</t>
  </si>
  <si>
    <t>OCT</t>
  </si>
  <si>
    <t>NOV</t>
  </si>
  <si>
    <t>DIC</t>
  </si>
  <si>
    <t>% Ejecución Mensual</t>
  </si>
  <si>
    <t>1. CUMPLIMIENTO DEL PLAN DE TRABAJO ANUAL</t>
  </si>
  <si>
    <t>Implementar, Documentar  y ejecutar las actividades que se contemplen en el Sistema de Gestión de Seguridad y Salud en el Trabajo para dar cumpimiento a las metas y objetivos de conformidad con la normatividad legal vigente.</t>
  </si>
  <si>
    <t xml:space="preserve">Revisión y actualización (si lo requiere) de la Política de SST. </t>
  </si>
  <si>
    <t>Revisión y actualización (si lo requiere) de la Matriz de identificación de peligros, evaluación y valoración de los riesgos.</t>
  </si>
  <si>
    <t>Revisión y actualización (si lo requiere) de la Matriz Legal</t>
  </si>
  <si>
    <t xml:space="preserve">Se incluyen las capacitaciones para los COMITES. </t>
  </si>
  <si>
    <t>Revisión Plan de emergencia</t>
  </si>
  <si>
    <t>Implementar actividades para prevenir riesgo psicosocial</t>
  </si>
  <si>
    <t>Revisión de las medida correctivas preventivas y de mejora implementadas</t>
  </si>
  <si>
    <t>FECHA DE ELABORACIÓN</t>
  </si>
  <si>
    <t>Programar reuniones de Comité de Convivencia</t>
  </si>
  <si>
    <t>Realizar reuniones del Comité de Convivencia</t>
  </si>
  <si>
    <t>Responsable del SG SST/Comité de Convivencia</t>
  </si>
  <si>
    <t>SISTEMA DE GESTIÓN DE LA SEGURIDAD Y SALUD EN EL TRABAJO</t>
  </si>
  <si>
    <t>Fecha: 24/01/2020</t>
  </si>
  <si>
    <t>Versión 001</t>
  </si>
  <si>
    <t>Nombre:  Myriam Baron
Cargo: Abogada especialista en SST
Licencia: Resolucion 2403 de 2016.</t>
  </si>
  <si>
    <t>Nombre: Dayana Madroñero Diaz
Cargo: Profesional en SST 
Licencia: Resolución  1554 de 2020</t>
  </si>
  <si>
    <t>Nombre: Lina Maria Correa
Cargo: Gerente</t>
  </si>
  <si>
    <t>Página1 de 2</t>
  </si>
  <si>
    <t>Programar reuniones de COPASST</t>
  </si>
  <si>
    <t>Realizar reuniones del COPASST</t>
  </si>
  <si>
    <t>Responsable del SG SST/COPASST</t>
  </si>
  <si>
    <t>Gerencia, COPASST</t>
  </si>
  <si>
    <t>COPASST</t>
  </si>
  <si>
    <t>Gerencia / COPASST/ Responsable del SG SST</t>
  </si>
  <si>
    <t>Gerencia, Responsable del SG SST/COPASST</t>
  </si>
  <si>
    <t xml:space="preserve">Se construye en la primera reunión del COPASST en el año 2022, y se socializa. </t>
  </si>
  <si>
    <t xml:space="preserve">Se construye en la primera reunión del comite en el año 2022, y se socializa. </t>
  </si>
  <si>
    <t>ENERO - DICIEMBRE DEL AÑO 2023</t>
  </si>
  <si>
    <t>Elaboración Plan de Trabajo para el año 2023</t>
  </si>
  <si>
    <t>29 de diciembre del 2022</t>
  </si>
  <si>
    <t xml:space="preserve">Socializar Plan de trabajo vigencia 2023 al COPASST </t>
  </si>
  <si>
    <t>Realizar cronograma de capacitación para la vigencia año 2023</t>
  </si>
  <si>
    <t xml:space="preserve">Realizar reinducción a los trabajadores </t>
  </si>
  <si>
    <t>Programar curso de 50 horas de SST al COPASST</t>
  </si>
  <si>
    <t>Realizar matriz de retencion documental del SG-SST</t>
  </si>
  <si>
    <t>Realizar evaluación de proveedores</t>
  </si>
  <si>
    <t>Solicitar al proveedor de examenes medicos ocupacionales certificado de custodia de historias clinicas</t>
  </si>
  <si>
    <t>Evaluar si aplica en la empresa, la realizacion de mediciones ambientales, quimicos, fisicos y biologicos</t>
  </si>
  <si>
    <t>Responsable del SG-SST</t>
  </si>
  <si>
    <t>X</t>
  </si>
  <si>
    <t>Elaboración del presupuesto anual vigencia 2023</t>
  </si>
  <si>
    <t>La politica se encontraba programada para el mes de enero sin embargo fue revisada en conjunto con el COPASST en la reunion del mes de marzo.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</si>
</sst>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_-[$€-2]* #,##0.00_-;\-[$€-2]* #,##0.00_-;_-[$€-2]* &quot;-&quot;??_-"/>
  </numFmts>
  <fonts count="26" x14ac:knownFonts="1">
    <font>
      <sz val="10"/>
      <name val="Arial"/>
    </font>
    <font>
      <sz val="10"/>
      <name val="Arial"/>
      <family val="2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sz val="11"/>
      <color indexed="52"/>
      <name val="Calibri"/>
      <family val="2"/>
    </font>
    <font>
      <b/>
      <sz val="11"/>
      <color indexed="56"/>
      <name val="Calibri"/>
      <family val="2"/>
    </font>
    <font>
      <sz val="11"/>
      <color indexed="62"/>
      <name val="Calibri"/>
      <family val="2"/>
    </font>
    <font>
      <sz val="10"/>
      <name val="Arial Narrow"/>
      <family val="2"/>
    </font>
    <font>
      <sz val="11"/>
      <color indexed="20"/>
      <name val="Calibri"/>
      <family val="2"/>
    </font>
    <font>
      <sz val="11"/>
      <color indexed="60"/>
      <name val="Calibri"/>
      <family val="2"/>
    </font>
    <font>
      <sz val="10"/>
      <name val="Arial"/>
      <family val="2"/>
    </font>
    <font>
      <b/>
      <sz val="11"/>
      <color indexed="63"/>
      <name val="Calibri"/>
      <family val="2"/>
    </font>
    <font>
      <b/>
      <sz val="18"/>
      <color indexed="56"/>
      <name val="Cambria"/>
      <family val="2"/>
    </font>
    <font>
      <b/>
      <sz val="11"/>
      <color indexed="8"/>
      <name val="Calibri"/>
      <family val="2"/>
    </font>
    <font>
      <b/>
      <sz val="9"/>
      <name val="Arial"/>
      <family val="2"/>
    </font>
    <font>
      <b/>
      <sz val="12"/>
      <name val="Arial"/>
      <family val="2"/>
    </font>
    <font>
      <sz val="12"/>
      <name val="Arial"/>
      <family val="2"/>
    </font>
    <font>
      <b/>
      <sz val="16"/>
      <name val="Arial"/>
      <family val="2"/>
    </font>
    <font>
      <b/>
      <sz val="22"/>
      <name val="Arial"/>
      <family val="2"/>
    </font>
    <font>
      <b/>
      <sz val="14"/>
      <name val="Arial"/>
      <family val="2"/>
    </font>
    <font>
      <sz val="12"/>
      <color theme="1"/>
      <name val="Arial"/>
      <family val="2"/>
    </font>
    <font>
      <sz val="12"/>
      <color rgb="FFFF0000"/>
      <name val="Arial"/>
      <family val="2"/>
    </font>
    <font>
      <sz val="12"/>
      <color theme="2" tint="-0.89999084444715716"/>
      <name val="Arial"/>
      <family val="2"/>
    </font>
    <font>
      <b/>
      <sz val="12"/>
      <color theme="2" tint="-0.89999084444715716"/>
      <name val="Arial"/>
      <family val="2"/>
    </font>
    <font>
      <b/>
      <sz val="12"/>
      <color theme="1"/>
      <name val="Arial"/>
      <family val="2"/>
    </font>
    <font>
      <sz val="11"/>
      <name val="Arial"/>
      <family val="2"/>
    </font>
  </fonts>
  <fills count="28">
    <fill>
      <patternFill patternType="none"/>
    </fill>
    <fill>
      <patternFill patternType="gray125"/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22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43"/>
      </patternFill>
    </fill>
    <fill>
      <patternFill patternType="solid">
        <fgColor rgb="FF92D05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rgb="FFFFFF00"/>
        <bgColor indexed="64"/>
      </patternFill>
    </fill>
  </fills>
  <borders count="59">
    <border>
      <left/>
      <right/>
      <top/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/>
      <right/>
      <top/>
      <bottom style="double">
        <color indexed="5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theme="0" tint="-0.249977111117893"/>
      </left>
      <right style="thin">
        <color theme="0" tint="-0.249977111117893"/>
      </right>
      <top style="thin">
        <color theme="0" tint="-0.249977111117893"/>
      </top>
      <bottom style="thin">
        <color theme="0" tint="-0.249977111117893"/>
      </bottom>
      <diagonal/>
    </border>
    <border>
      <left style="thin">
        <color theme="0" tint="-0.249977111117893"/>
      </left>
      <right style="medium">
        <color indexed="64"/>
      </right>
      <top style="thin">
        <color theme="0" tint="-0.249977111117893"/>
      </top>
      <bottom style="thin">
        <color theme="0" tint="-0.249977111117893"/>
      </bottom>
      <diagonal/>
    </border>
    <border>
      <left style="thin">
        <color theme="0" tint="-0.249977111117893"/>
      </left>
      <right/>
      <top style="thin">
        <color theme="0" tint="-0.249977111117893"/>
      </top>
      <bottom style="thin">
        <color theme="0" tint="-0.249977111117893"/>
      </bottom>
      <diagonal/>
    </border>
    <border>
      <left style="medium">
        <color theme="0" tint="-0.249977111117893"/>
      </left>
      <right style="thin">
        <color theme="0" tint="-0.249977111117893"/>
      </right>
      <top style="thin">
        <color theme="0" tint="-0.249977111117893"/>
      </top>
      <bottom style="medium">
        <color theme="0" tint="-0.249977111117893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77111117893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77111117893"/>
      </right>
      <top style="thin">
        <color theme="0" tint="-0.249977111117893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77111117893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77111117893"/>
      </bottom>
      <diagonal/>
    </border>
    <border>
      <left style="thin">
        <color theme="0" tint="-0.24994659260841701"/>
      </left>
      <right style="thin">
        <color theme="0" tint="-0.249977111117893"/>
      </right>
      <top style="thin">
        <color theme="0" tint="-0.24994659260841701"/>
      </top>
      <bottom style="thin">
        <color theme="0" tint="-0.249977111117893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/>
      <right style="medium">
        <color indexed="64"/>
      </right>
      <top style="thin">
        <color theme="0" tint="-0.249977111117893"/>
      </top>
      <bottom style="medium">
        <color theme="0" tint="-0.249977111117893"/>
      </bottom>
      <diagonal/>
    </border>
    <border>
      <left style="medium">
        <color theme="0" tint="-0.24994659260841701"/>
      </left>
      <right style="medium">
        <color indexed="64"/>
      </right>
      <top style="medium">
        <color theme="0" tint="-0.249977111117893"/>
      </top>
      <bottom style="thin">
        <color theme="0" tint="-0.24994659260841701"/>
      </bottom>
      <diagonal/>
    </border>
    <border>
      <left style="medium">
        <color theme="0" tint="-0.24994659260841701"/>
      </left>
      <right style="medium">
        <color indexed="64"/>
      </right>
      <top style="thin">
        <color theme="0" tint="-0.24994659260841701"/>
      </top>
      <bottom style="medium">
        <color theme="0" tint="-0.249977111117893"/>
      </bottom>
      <diagonal/>
    </border>
    <border>
      <left/>
      <right style="thin">
        <color theme="0" tint="-0.249977111117893"/>
      </right>
      <top style="thin">
        <color theme="0" tint="-0.249977111117893"/>
      </top>
      <bottom style="thin">
        <color theme="0" tint="-0.249977111117893"/>
      </bottom>
      <diagonal/>
    </border>
    <border>
      <left/>
      <right/>
      <top style="thin">
        <color theme="0" tint="-0.249977111117893"/>
      </top>
      <bottom style="thin">
        <color theme="0" tint="-0.249977111117893"/>
      </bottom>
      <diagonal/>
    </border>
    <border>
      <left style="thin">
        <color theme="0" tint="-0.249977111117893"/>
      </left>
      <right/>
      <top style="thin">
        <color theme="0" tint="-0.249977111117893"/>
      </top>
      <bottom style="medium">
        <color theme="0" tint="-0.249977111117893"/>
      </bottom>
      <diagonal/>
    </border>
    <border>
      <left/>
      <right/>
      <top style="thin">
        <color theme="0" tint="-0.249977111117893"/>
      </top>
      <bottom style="medium">
        <color theme="0" tint="-0.249977111117893"/>
      </bottom>
      <diagonal/>
    </border>
    <border>
      <left style="medium">
        <color indexed="64"/>
      </left>
      <right/>
      <top style="thin">
        <color theme="0" tint="-0.249977111117893"/>
      </top>
      <bottom/>
      <diagonal/>
    </border>
    <border>
      <left/>
      <right/>
      <top style="thin">
        <color theme="0" tint="-0.249977111117893"/>
      </top>
      <bottom/>
      <diagonal/>
    </border>
    <border>
      <left style="medium">
        <color indexed="64"/>
      </left>
      <right/>
      <top style="thin">
        <color theme="0" tint="-0.249977111117893"/>
      </top>
      <bottom style="thin">
        <color theme="0" tint="-0.249977111117893"/>
      </bottom>
      <diagonal/>
    </border>
    <border>
      <left/>
      <right style="medium">
        <color indexed="64"/>
      </right>
      <top style="thin">
        <color theme="0" tint="-0.249977111117893"/>
      </top>
      <bottom/>
      <diagonal/>
    </border>
    <border>
      <left style="medium">
        <color theme="0" tint="-0.249977111117893"/>
      </left>
      <right style="thin">
        <color theme="0" tint="-0.249977111117893"/>
      </right>
      <top style="thin">
        <color theme="0" tint="-0.249977111117893"/>
      </top>
      <bottom style="thin">
        <color theme="0" tint="-0.249977111117893"/>
      </bottom>
      <diagonal/>
    </border>
    <border>
      <left style="thin">
        <color theme="0" tint="-0.249977111117893"/>
      </left>
      <right/>
      <top/>
      <bottom/>
      <diagonal/>
    </border>
    <border>
      <left/>
      <right style="thin">
        <color theme="0" tint="-0.249977111117893"/>
      </right>
      <top/>
      <bottom/>
      <diagonal/>
    </border>
    <border>
      <left style="medium">
        <color indexed="64"/>
      </left>
      <right style="thin">
        <color theme="0" tint="-0.249977111117893"/>
      </right>
      <top/>
      <bottom/>
      <diagonal/>
    </border>
    <border>
      <left style="thin">
        <color theme="0" tint="-0.249977111117893"/>
      </left>
      <right style="thin">
        <color theme="0" tint="-0.249977111117893"/>
      </right>
      <top/>
      <bottom/>
      <diagonal/>
    </border>
    <border>
      <left style="thin">
        <color theme="0" tint="-0.249977111117893"/>
      </left>
      <right style="medium">
        <color indexed="64"/>
      </right>
      <top/>
      <bottom/>
      <diagonal/>
    </border>
    <border>
      <left style="medium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theme="0" tint="-0.249977111117893"/>
      </bottom>
      <diagonal/>
    </border>
    <border>
      <left style="thin">
        <color theme="0" tint="-0.249977111117893"/>
      </left>
      <right style="thin">
        <color theme="0" tint="-0.249977111117893"/>
      </right>
      <top style="medium">
        <color indexed="64"/>
      </top>
      <bottom style="thin">
        <color theme="0" tint="-0.249977111117893"/>
      </bottom>
      <diagonal/>
    </border>
    <border>
      <left style="medium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77111117893"/>
      </left>
      <right style="medium">
        <color indexed="64"/>
      </right>
      <top style="medium">
        <color indexed="64"/>
      </top>
      <bottom style="thin">
        <color theme="0" tint="-0.249977111117893"/>
      </bottom>
      <diagonal/>
    </border>
    <border>
      <left style="medium">
        <color indexed="64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77111117893"/>
      </left>
      <right style="thin">
        <color theme="0" tint="-0.249977111117893"/>
      </right>
      <top style="thin">
        <color theme="0" tint="-0.249977111117893"/>
      </top>
      <bottom style="thin">
        <color theme="0" tint="-0.24994659260841701"/>
      </bottom>
      <diagonal/>
    </border>
    <border>
      <left style="medium">
        <color theme="0" tint="-0.249977111117893"/>
      </left>
      <right/>
      <top style="medium">
        <color theme="0" tint="-0.249977111117893"/>
      </top>
      <bottom style="thin">
        <color theme="0" tint="-0.249977111117893"/>
      </bottom>
      <diagonal/>
    </border>
    <border>
      <left/>
      <right/>
      <top style="medium">
        <color theme="0" tint="-0.249977111117893"/>
      </top>
      <bottom style="thin">
        <color theme="0" tint="-0.249977111117893"/>
      </bottom>
      <diagonal/>
    </border>
    <border>
      <left/>
      <right style="medium">
        <color indexed="64"/>
      </right>
      <top style="medium">
        <color theme="0" tint="-0.249977111117893"/>
      </top>
      <bottom style="thin">
        <color theme="0" tint="-0.249977111117893"/>
      </bottom>
      <diagonal/>
    </border>
    <border>
      <left style="medium">
        <color indexed="64"/>
      </left>
      <right style="thin">
        <color theme="0" tint="-0.249977111117893"/>
      </right>
      <top style="medium">
        <color indexed="64"/>
      </top>
      <bottom/>
      <diagonal/>
    </border>
    <border>
      <left style="medium">
        <color indexed="64"/>
      </left>
      <right style="thin">
        <color theme="0" tint="-0.249977111117893"/>
      </right>
      <top/>
      <bottom style="thin">
        <color theme="0" tint="-0.24994659260841701"/>
      </bottom>
      <diagonal/>
    </border>
  </borders>
  <cellStyleXfs count="38">
    <xf numFmtId="0" fontId="0" fillId="0" borderId="0"/>
    <xf numFmtId="0" fontId="2" fillId="2" borderId="0" applyNumberFormat="0" applyBorder="0" applyAlignment="0" applyProtection="0"/>
    <xf numFmtId="0" fontId="2" fillId="3" borderId="0" applyNumberFormat="0" applyBorder="0" applyAlignment="0" applyProtection="0"/>
    <xf numFmtId="0" fontId="2" fillId="4" borderId="0" applyNumberFormat="0" applyBorder="0" applyAlignment="0" applyProtection="0"/>
    <xf numFmtId="0" fontId="2" fillId="5" borderId="0" applyNumberFormat="0" applyBorder="0" applyAlignment="0" applyProtection="0"/>
    <xf numFmtId="0" fontId="2" fillId="6" borderId="0" applyNumberFormat="0" applyBorder="0" applyAlignment="0" applyProtection="0"/>
    <xf numFmtId="0" fontId="2" fillId="7" borderId="0" applyNumberFormat="0" applyBorder="0" applyAlignment="0" applyProtection="0"/>
    <xf numFmtId="0" fontId="2" fillId="8" borderId="0" applyNumberFormat="0" applyBorder="0" applyAlignment="0" applyProtection="0"/>
    <xf numFmtId="0" fontId="2" fillId="9" borderId="0" applyNumberFormat="0" applyBorder="0" applyAlignment="0" applyProtection="0"/>
    <xf numFmtId="0" fontId="2" fillId="10" borderId="0" applyNumberFormat="0" applyBorder="0" applyAlignment="0" applyProtection="0"/>
    <xf numFmtId="0" fontId="2" fillId="5" borderId="0" applyNumberFormat="0" applyBorder="0" applyAlignment="0" applyProtection="0"/>
    <xf numFmtId="0" fontId="2" fillId="8" borderId="0" applyNumberFormat="0" applyBorder="0" applyAlignment="0" applyProtection="0"/>
    <xf numFmtId="0" fontId="2" fillId="11" borderId="0" applyNumberFormat="0" applyBorder="0" applyAlignment="0" applyProtection="0"/>
    <xf numFmtId="0" fontId="3" fillId="12" borderId="0" applyNumberFormat="0" applyBorder="0" applyAlignment="0" applyProtection="0"/>
    <xf numFmtId="0" fontId="3" fillId="9" borderId="0" applyNumberFormat="0" applyBorder="0" applyAlignment="0" applyProtection="0"/>
    <xf numFmtId="0" fontId="3" fillId="10" borderId="0" applyNumberFormat="0" applyBorder="0" applyAlignment="0" applyProtection="0"/>
    <xf numFmtId="0" fontId="3" fillId="13" borderId="0" applyNumberFormat="0" applyBorder="0" applyAlignment="0" applyProtection="0"/>
    <xf numFmtId="0" fontId="3" fillId="14" borderId="0" applyNumberFormat="0" applyBorder="0" applyAlignment="0" applyProtection="0"/>
    <xf numFmtId="0" fontId="3" fillId="15" borderId="0" applyNumberFormat="0" applyBorder="0" applyAlignment="0" applyProtection="0"/>
    <xf numFmtId="0" fontId="4" fillId="0" borderId="2" applyNumberFormat="0" applyFill="0" applyAlignment="0" applyProtection="0"/>
    <xf numFmtId="0" fontId="5" fillId="0" borderId="0" applyNumberFormat="0" applyFill="0" applyBorder="0" applyAlignment="0" applyProtection="0"/>
    <xf numFmtId="0" fontId="3" fillId="17" borderId="0" applyNumberFormat="0" applyBorder="0" applyAlignment="0" applyProtection="0"/>
    <xf numFmtId="0" fontId="3" fillId="18" borderId="0" applyNumberFormat="0" applyBorder="0" applyAlignment="0" applyProtection="0"/>
    <xf numFmtId="0" fontId="3" fillId="19" borderId="0" applyNumberFormat="0" applyBorder="0" applyAlignment="0" applyProtection="0"/>
    <xf numFmtId="0" fontId="3" fillId="13" borderId="0" applyNumberFormat="0" applyBorder="0" applyAlignment="0" applyProtection="0"/>
    <xf numFmtId="0" fontId="3" fillId="14" borderId="0" applyNumberFormat="0" applyBorder="0" applyAlignment="0" applyProtection="0"/>
    <xf numFmtId="0" fontId="3" fillId="20" borderId="0" applyNumberFormat="0" applyBorder="0" applyAlignment="0" applyProtection="0"/>
    <xf numFmtId="0" fontId="6" fillId="7" borderId="1" applyNumberFormat="0" applyAlignment="0" applyProtection="0"/>
    <xf numFmtId="164" fontId="7" fillId="0" borderId="0" applyFont="0" applyFill="0" applyBorder="0" applyAlignment="0" applyProtection="0"/>
    <xf numFmtId="0" fontId="8" fillId="3" borderId="0" applyNumberFormat="0" applyBorder="0" applyAlignment="0" applyProtection="0"/>
    <xf numFmtId="0" fontId="9" fillId="21" borderId="0" applyNumberFormat="0" applyBorder="0" applyAlignment="0" applyProtection="0"/>
    <xf numFmtId="0" fontId="10" fillId="0" borderId="0"/>
    <xf numFmtId="17" fontId="10" fillId="0" borderId="0"/>
    <xf numFmtId="9" fontId="1" fillId="0" borderId="0" applyFont="0" applyFill="0" applyBorder="0" applyAlignment="0" applyProtection="0"/>
    <xf numFmtId="9" fontId="10" fillId="0" borderId="0" applyFont="0" applyFill="0" applyBorder="0" applyAlignment="0" applyProtection="0"/>
    <xf numFmtId="0" fontId="11" fillId="16" borderId="3" applyNumberFormat="0" applyAlignment="0" applyProtection="0"/>
    <xf numFmtId="0" fontId="12" fillId="0" borderId="0" applyNumberFormat="0" applyFill="0" applyBorder="0" applyAlignment="0" applyProtection="0"/>
    <xf numFmtId="0" fontId="13" fillId="0" borderId="4" applyNumberFormat="0" applyFill="0" applyAlignment="0" applyProtection="0"/>
  </cellStyleXfs>
  <cellXfs count="124">
    <xf numFmtId="0" fontId="0" fillId="0" borderId="0" xfId="0"/>
    <xf numFmtId="0" fontId="16" fillId="0" borderId="0" xfId="0" applyFont="1"/>
    <xf numFmtId="17" fontId="20" fillId="0" borderId="0" xfId="32" applyFont="1" applyFill="1" applyProtection="1">
      <protection locked="0"/>
    </xf>
    <xf numFmtId="0" fontId="15" fillId="0" borderId="20" xfId="0" applyFont="1" applyFill="1" applyBorder="1" applyAlignment="1">
      <alignment horizontal="center" vertical="center" wrapText="1"/>
    </xf>
    <xf numFmtId="0" fontId="16" fillId="0" borderId="0" xfId="0" applyFont="1" applyFill="1"/>
    <xf numFmtId="0" fontId="16" fillId="0" borderId="0" xfId="0" applyFont="1" applyAlignment="1">
      <alignment horizontal="center"/>
    </xf>
    <xf numFmtId="1" fontId="20" fillId="0" borderId="20" xfId="32" applyNumberFormat="1" applyFont="1" applyFill="1" applyBorder="1" applyAlignment="1" applyProtection="1">
      <alignment horizontal="center" vertical="center"/>
      <protection locked="0"/>
    </xf>
    <xf numFmtId="17" fontId="14" fillId="22" borderId="20" xfId="32" applyFont="1" applyFill="1" applyBorder="1" applyAlignment="1" applyProtection="1">
      <alignment horizontal="center" vertical="center"/>
    </xf>
    <xf numFmtId="0" fontId="16" fillId="0" borderId="21" xfId="0" applyFont="1" applyFill="1" applyBorder="1" applyAlignment="1">
      <alignment vertical="center" wrapText="1"/>
    </xf>
    <xf numFmtId="0" fontId="16" fillId="0" borderId="21" xfId="0" applyFont="1" applyFill="1" applyBorder="1" applyAlignment="1">
      <alignment vertical="center"/>
    </xf>
    <xf numFmtId="0" fontId="16" fillId="0" borderId="21" xfId="0" applyFont="1" applyFill="1" applyBorder="1" applyAlignment="1">
      <alignment horizontal="center" vertical="center" wrapText="1"/>
    </xf>
    <xf numFmtId="0" fontId="16" fillId="0" borderId="21" xfId="0" applyFont="1" applyFill="1" applyBorder="1" applyAlignment="1">
      <alignment horizontal="justify"/>
    </xf>
    <xf numFmtId="17" fontId="14" fillId="0" borderId="20" xfId="32" applyFont="1" applyFill="1" applyBorder="1" applyAlignment="1" applyProtection="1">
      <alignment horizontal="center" vertical="center"/>
    </xf>
    <xf numFmtId="1" fontId="20" fillId="23" borderId="20" xfId="32" applyNumberFormat="1" applyFont="1" applyFill="1" applyBorder="1" applyAlignment="1" applyProtection="1">
      <alignment horizontal="center" vertical="center"/>
      <protection locked="0"/>
    </xf>
    <xf numFmtId="1" fontId="20" fillId="23" borderId="22" xfId="32" applyNumberFormat="1" applyFont="1" applyFill="1" applyBorder="1" applyAlignment="1" applyProtection="1">
      <alignment horizontal="center" vertical="center"/>
      <protection locked="0"/>
    </xf>
    <xf numFmtId="0" fontId="16" fillId="0" borderId="23" xfId="0" applyNumberFormat="1" applyFont="1" applyFill="1" applyBorder="1" applyAlignment="1">
      <alignment horizontal="center" vertical="center" wrapText="1"/>
    </xf>
    <xf numFmtId="0" fontId="21" fillId="0" borderId="0" xfId="0" applyFont="1"/>
    <xf numFmtId="0" fontId="15" fillId="0" borderId="0" xfId="0" applyFont="1"/>
    <xf numFmtId="0" fontId="15" fillId="0" borderId="0" xfId="0" applyFont="1" applyAlignment="1">
      <alignment vertical="center"/>
    </xf>
    <xf numFmtId="1" fontId="20" fillId="0" borderId="24" xfId="32" applyNumberFormat="1" applyFont="1" applyFill="1" applyBorder="1" applyAlignment="1" applyProtection="1">
      <alignment horizontal="center" vertical="center"/>
      <protection locked="0"/>
    </xf>
    <xf numFmtId="17" fontId="22" fillId="0" borderId="25" xfId="32" applyFont="1" applyFill="1" applyBorder="1" applyAlignment="1" applyProtection="1">
      <alignment horizontal="center" vertical="center" wrapText="1"/>
      <protection locked="0"/>
    </xf>
    <xf numFmtId="0" fontId="16" fillId="0" borderId="26" xfId="0" applyFont="1" applyFill="1" applyBorder="1" applyAlignment="1">
      <alignment horizontal="left" vertical="center" wrapText="1"/>
    </xf>
    <xf numFmtId="1" fontId="20" fillId="0" borderId="26" xfId="32" applyNumberFormat="1" applyFont="1" applyFill="1" applyBorder="1" applyAlignment="1" applyProtection="1">
      <alignment horizontal="center" vertical="center"/>
      <protection locked="0"/>
    </xf>
    <xf numFmtId="17" fontId="22" fillId="0" borderId="27" xfId="32" applyFont="1" applyFill="1" applyBorder="1" applyAlignment="1" applyProtection="1">
      <alignment horizontal="center" vertical="center" wrapText="1"/>
      <protection locked="0"/>
    </xf>
    <xf numFmtId="1" fontId="20" fillId="0" borderId="28" xfId="32" applyNumberFormat="1" applyFont="1" applyFill="1" applyBorder="1" applyAlignment="1" applyProtection="1">
      <alignment horizontal="center" vertical="center"/>
      <protection locked="0"/>
    </xf>
    <xf numFmtId="1" fontId="20" fillId="22" borderId="28" xfId="32" applyNumberFormat="1" applyFont="1" applyFill="1" applyBorder="1" applyAlignment="1" applyProtection="1">
      <alignment horizontal="center" vertical="center"/>
      <protection locked="0"/>
    </xf>
    <xf numFmtId="17" fontId="23" fillId="0" borderId="29" xfId="32" applyFont="1" applyFill="1" applyBorder="1" applyAlignment="1" applyProtection="1">
      <alignment vertical="center" wrapText="1"/>
      <protection locked="0"/>
    </xf>
    <xf numFmtId="0" fontId="16" fillId="0" borderId="30" xfId="0" applyFont="1" applyFill="1" applyBorder="1" applyAlignment="1">
      <alignment horizontal="left" vertical="center" wrapText="1"/>
    </xf>
    <xf numFmtId="9" fontId="18" fillId="0" borderId="31" xfId="33" applyFont="1" applyFill="1" applyBorder="1" applyAlignment="1">
      <alignment horizontal="center" vertical="center"/>
    </xf>
    <xf numFmtId="9" fontId="15" fillId="0" borderId="32" xfId="33" applyFont="1" applyFill="1" applyBorder="1" applyAlignment="1">
      <alignment horizontal="center" vertical="center"/>
    </xf>
    <xf numFmtId="9" fontId="15" fillId="0" borderId="33" xfId="0" applyNumberFormat="1" applyFont="1" applyFill="1" applyBorder="1" applyAlignment="1">
      <alignment horizontal="center" vertical="center" wrapText="1"/>
    </xf>
    <xf numFmtId="0" fontId="17" fillId="0" borderId="5" xfId="0" applyFont="1" applyBorder="1" applyAlignment="1">
      <alignment vertical="center" wrapText="1"/>
    </xf>
    <xf numFmtId="0" fontId="20" fillId="0" borderId="26" xfId="0" applyFont="1" applyFill="1" applyBorder="1" applyAlignment="1">
      <alignment horizontal="left" vertical="center" wrapText="1"/>
    </xf>
    <xf numFmtId="0" fontId="25" fillId="0" borderId="21" xfId="0" applyFont="1" applyFill="1" applyBorder="1" applyAlignment="1">
      <alignment vertical="center" wrapText="1"/>
    </xf>
    <xf numFmtId="0" fontId="17" fillId="0" borderId="6" xfId="0" applyFont="1" applyBorder="1" applyAlignment="1">
      <alignment horizontal="center" vertical="center" wrapText="1"/>
    </xf>
    <xf numFmtId="0" fontId="17" fillId="0" borderId="6" xfId="0" applyFont="1" applyBorder="1" applyAlignment="1">
      <alignment horizontal="center" vertical="center"/>
    </xf>
    <xf numFmtId="0" fontId="17" fillId="0" borderId="6" xfId="0" applyFont="1" applyBorder="1" applyAlignment="1">
      <alignment horizontal="left" vertical="center" wrapText="1"/>
    </xf>
    <xf numFmtId="0" fontId="19" fillId="0" borderId="7" xfId="0" applyFont="1" applyBorder="1" applyAlignment="1">
      <alignment horizontal="center" vertical="center"/>
    </xf>
    <xf numFmtId="0" fontId="19" fillId="0" borderId="8" xfId="0" applyFont="1" applyBorder="1" applyAlignment="1">
      <alignment horizontal="center" vertical="center"/>
    </xf>
    <xf numFmtId="0" fontId="15" fillId="0" borderId="9" xfId="0" applyFont="1" applyBorder="1" applyAlignment="1">
      <alignment horizontal="center" vertical="center"/>
    </xf>
    <xf numFmtId="0" fontId="15" fillId="0" borderId="10" xfId="0" applyFont="1" applyBorder="1" applyAlignment="1">
      <alignment horizontal="center" vertical="center"/>
    </xf>
    <xf numFmtId="0" fontId="15" fillId="0" borderId="8" xfId="0" applyFont="1" applyBorder="1" applyAlignment="1">
      <alignment horizontal="center" wrapText="1"/>
    </xf>
    <xf numFmtId="0" fontId="15" fillId="0" borderId="8" xfId="0" applyFont="1" applyBorder="1" applyAlignment="1">
      <alignment horizontal="center"/>
    </xf>
    <xf numFmtId="0" fontId="15" fillId="0" borderId="11" xfId="0" applyFont="1" applyBorder="1" applyAlignment="1">
      <alignment horizontal="center"/>
    </xf>
    <xf numFmtId="9" fontId="20" fillId="0" borderId="22" xfId="33" applyFont="1" applyFill="1" applyBorder="1" applyAlignment="1" applyProtection="1">
      <alignment horizontal="center" vertical="center"/>
      <protection locked="0"/>
    </xf>
    <xf numFmtId="9" fontId="20" fillId="0" borderId="34" xfId="33" applyFont="1" applyFill="1" applyBorder="1" applyAlignment="1" applyProtection="1">
      <alignment horizontal="center" vertical="center"/>
      <protection locked="0"/>
    </xf>
    <xf numFmtId="9" fontId="20" fillId="0" borderId="35" xfId="33" applyFont="1" applyFill="1" applyBorder="1" applyAlignment="1" applyProtection="1">
      <alignment horizontal="center" vertical="center"/>
      <protection locked="0"/>
    </xf>
    <xf numFmtId="0" fontId="15" fillId="0" borderId="12" xfId="0" applyFont="1" applyBorder="1" applyAlignment="1">
      <alignment horizontal="center" vertical="center"/>
    </xf>
    <xf numFmtId="0" fontId="16" fillId="0" borderId="36" xfId="0" applyNumberFormat="1" applyFont="1" applyFill="1" applyBorder="1" applyAlignment="1">
      <alignment horizontal="center" vertical="center" wrapText="1"/>
    </xf>
    <xf numFmtId="0" fontId="16" fillId="0" borderId="37" xfId="0" applyNumberFormat="1" applyFont="1" applyFill="1" applyBorder="1" applyAlignment="1">
      <alignment horizontal="center" vertical="center" wrapText="1"/>
    </xf>
    <xf numFmtId="9" fontId="24" fillId="0" borderId="22" xfId="33" applyFont="1" applyFill="1" applyBorder="1" applyAlignment="1" applyProtection="1">
      <alignment horizontal="center" vertical="center"/>
      <protection locked="0"/>
    </xf>
    <xf numFmtId="9" fontId="24" fillId="0" borderId="35" xfId="33" applyFont="1" applyFill="1" applyBorder="1" applyAlignment="1" applyProtection="1">
      <alignment horizontal="center" vertical="center"/>
      <protection locked="0"/>
    </xf>
    <xf numFmtId="9" fontId="24" fillId="0" borderId="34" xfId="33" applyFont="1" applyFill="1" applyBorder="1" applyAlignment="1" applyProtection="1">
      <alignment horizontal="center" vertical="center"/>
      <protection locked="0"/>
    </xf>
    <xf numFmtId="0" fontId="15" fillId="0" borderId="38" xfId="0" applyFont="1" applyBorder="1" applyAlignment="1">
      <alignment horizontal="left"/>
    </xf>
    <xf numFmtId="0" fontId="16" fillId="0" borderId="39" xfId="0" applyFont="1" applyBorder="1" applyAlignment="1">
      <alignment horizontal="left"/>
    </xf>
    <xf numFmtId="0" fontId="16" fillId="0" borderId="0" xfId="0" applyFont="1" applyBorder="1" applyAlignment="1">
      <alignment horizontal="left"/>
    </xf>
    <xf numFmtId="0" fontId="16" fillId="0" borderId="15" xfId="0" applyFont="1" applyBorder="1" applyAlignment="1">
      <alignment horizontal="left"/>
    </xf>
    <xf numFmtId="0" fontId="16" fillId="0" borderId="16" xfId="0" applyFont="1" applyBorder="1" applyAlignment="1">
      <alignment horizontal="left"/>
    </xf>
    <xf numFmtId="0" fontId="16" fillId="0" borderId="17" xfId="0" applyFont="1" applyBorder="1" applyAlignment="1">
      <alignment horizontal="left"/>
    </xf>
    <xf numFmtId="0" fontId="16" fillId="0" borderId="18" xfId="0" applyFont="1" applyBorder="1" applyAlignment="1">
      <alignment horizontal="left"/>
    </xf>
    <xf numFmtId="0" fontId="16" fillId="0" borderId="19" xfId="0" applyFont="1" applyBorder="1" applyAlignment="1">
      <alignment horizontal="left"/>
    </xf>
    <xf numFmtId="0" fontId="15" fillId="0" borderId="40" xfId="0" applyFont="1" applyFill="1" applyBorder="1" applyAlignment="1">
      <alignment horizontal="justify" vertical="center" wrapText="1"/>
    </xf>
    <xf numFmtId="0" fontId="15" fillId="0" borderId="34" xfId="0" applyFont="1" applyFill="1" applyBorder="1" applyAlignment="1">
      <alignment horizontal="justify" vertical="center" wrapText="1"/>
    </xf>
    <xf numFmtId="0" fontId="15" fillId="24" borderId="5" xfId="0" applyFont="1" applyFill="1" applyBorder="1" applyAlignment="1">
      <alignment horizontal="center" vertical="center"/>
    </xf>
    <xf numFmtId="0" fontId="15" fillId="24" borderId="13" xfId="0" applyFont="1" applyFill="1" applyBorder="1" applyAlignment="1">
      <alignment horizontal="center" vertical="center"/>
    </xf>
    <xf numFmtId="0" fontId="15" fillId="24" borderId="14" xfId="0" applyFont="1" applyFill="1" applyBorder="1" applyAlignment="1">
      <alignment horizontal="center" vertical="center"/>
    </xf>
    <xf numFmtId="0" fontId="16" fillId="0" borderId="5" xfId="0" applyFont="1" applyBorder="1" applyAlignment="1">
      <alignment horizontal="center" vertical="center" wrapText="1"/>
    </xf>
    <xf numFmtId="0" fontId="16" fillId="0" borderId="13" xfId="0" applyFont="1" applyBorder="1" applyAlignment="1">
      <alignment horizontal="center" vertical="center" wrapText="1"/>
    </xf>
    <xf numFmtId="0" fontId="16" fillId="0" borderId="14" xfId="0" applyFont="1" applyBorder="1" applyAlignment="1">
      <alignment horizontal="center" vertical="center" wrapText="1"/>
    </xf>
    <xf numFmtId="0" fontId="16" fillId="0" borderId="40" xfId="0" applyFont="1" applyFill="1" applyBorder="1" applyAlignment="1">
      <alignment horizontal="justify" vertical="center" wrapText="1"/>
    </xf>
    <xf numFmtId="0" fontId="16" fillId="0" borderId="34" xfId="0" applyFont="1" applyFill="1" applyBorder="1" applyAlignment="1">
      <alignment horizontal="justify" vertical="center" wrapText="1"/>
    </xf>
    <xf numFmtId="0" fontId="15" fillId="0" borderId="40" xfId="0" applyFont="1" applyFill="1" applyBorder="1" applyAlignment="1">
      <alignment horizontal="center" vertical="center" wrapText="1"/>
    </xf>
    <xf numFmtId="0" fontId="15" fillId="0" borderId="34" xfId="0" applyFont="1" applyFill="1" applyBorder="1" applyAlignment="1">
      <alignment horizontal="center" vertical="center" wrapText="1"/>
    </xf>
    <xf numFmtId="0" fontId="16" fillId="0" borderId="40" xfId="0" applyFont="1" applyFill="1" applyBorder="1" applyAlignment="1">
      <alignment horizontal="center"/>
    </xf>
    <xf numFmtId="0" fontId="16" fillId="0" borderId="35" xfId="0" applyFont="1" applyFill="1" applyBorder="1" applyAlignment="1">
      <alignment horizontal="center"/>
    </xf>
    <xf numFmtId="0" fontId="16" fillId="0" borderId="39" xfId="0" applyFont="1" applyFill="1" applyBorder="1" applyAlignment="1">
      <alignment horizontal="center"/>
    </xf>
    <xf numFmtId="0" fontId="16" fillId="0" borderId="41" xfId="0" applyFont="1" applyFill="1" applyBorder="1" applyAlignment="1">
      <alignment horizontal="center"/>
    </xf>
    <xf numFmtId="17" fontId="16" fillId="0" borderId="22" xfId="32" applyFont="1" applyFill="1" applyBorder="1" applyAlignment="1" applyProtection="1">
      <alignment horizontal="center" vertical="center"/>
    </xf>
    <xf numFmtId="17" fontId="16" fillId="0" borderId="34" xfId="32" applyFont="1" applyFill="1" applyBorder="1" applyAlignment="1" applyProtection="1">
      <alignment horizontal="center" vertical="center"/>
    </xf>
    <xf numFmtId="17" fontId="14" fillId="0" borderId="20" xfId="32" applyFont="1" applyFill="1" applyBorder="1" applyAlignment="1" applyProtection="1">
      <alignment horizontal="center" vertical="center" textRotation="90"/>
    </xf>
    <xf numFmtId="1" fontId="15" fillId="0" borderId="42" xfId="0" applyNumberFormat="1" applyFont="1" applyFill="1" applyBorder="1" applyAlignment="1">
      <alignment horizontal="center" vertical="center"/>
    </xf>
    <xf numFmtId="0" fontId="15" fillId="0" borderId="35" xfId="0" applyFont="1" applyFill="1" applyBorder="1" applyAlignment="1">
      <alignment horizontal="center" vertical="center" wrapText="1"/>
    </xf>
    <xf numFmtId="0" fontId="15" fillId="0" borderId="38" xfId="0" applyFont="1" applyFill="1" applyBorder="1" applyAlignment="1">
      <alignment horizontal="center" vertical="center" wrapText="1"/>
    </xf>
    <xf numFmtId="0" fontId="15" fillId="0" borderId="39" xfId="0" applyFont="1" applyFill="1" applyBorder="1" applyAlignment="1">
      <alignment horizontal="center" vertical="center" wrapText="1"/>
    </xf>
    <xf numFmtId="0" fontId="15" fillId="0" borderId="41" xfId="0" applyFont="1" applyFill="1" applyBorder="1" applyAlignment="1">
      <alignment horizontal="center" vertical="center" wrapText="1"/>
    </xf>
    <xf numFmtId="1" fontId="15" fillId="0" borderId="20" xfId="0" applyNumberFormat="1" applyFont="1" applyFill="1" applyBorder="1" applyAlignment="1">
      <alignment horizontal="center" vertical="center"/>
    </xf>
    <xf numFmtId="1" fontId="15" fillId="0" borderId="22" xfId="0" applyNumberFormat="1" applyFont="1" applyFill="1" applyBorder="1" applyAlignment="1">
      <alignment horizontal="center" vertical="center"/>
    </xf>
    <xf numFmtId="17" fontId="16" fillId="0" borderId="35" xfId="32" applyFont="1" applyFill="1" applyBorder="1" applyAlignment="1" applyProtection="1">
      <alignment horizontal="center" vertical="center"/>
    </xf>
    <xf numFmtId="0" fontId="16" fillId="0" borderId="43" xfId="0" applyFont="1" applyBorder="1" applyAlignment="1">
      <alignment horizontal="center" wrapText="1"/>
    </xf>
    <xf numFmtId="0" fontId="16" fillId="0" borderId="0" xfId="0" applyFont="1" applyBorder="1" applyAlignment="1">
      <alignment horizontal="center" wrapText="1"/>
    </xf>
    <xf numFmtId="0" fontId="16" fillId="0" borderId="44" xfId="0" applyFont="1" applyBorder="1" applyAlignment="1">
      <alignment horizontal="center" wrapText="1"/>
    </xf>
    <xf numFmtId="0" fontId="16" fillId="23" borderId="45" xfId="0" applyFont="1" applyFill="1" applyBorder="1" applyAlignment="1">
      <alignment horizontal="center" vertical="center" wrapText="1"/>
    </xf>
    <xf numFmtId="0" fontId="16" fillId="23" borderId="46" xfId="0" applyFont="1" applyFill="1" applyBorder="1" applyAlignment="1">
      <alignment horizontal="center" vertical="center" wrapText="1"/>
    </xf>
    <xf numFmtId="0" fontId="16" fillId="23" borderId="47" xfId="0" applyFont="1" applyFill="1" applyBorder="1" applyAlignment="1">
      <alignment horizontal="center" vertical="center" wrapText="1"/>
    </xf>
    <xf numFmtId="0" fontId="15" fillId="0" borderId="48" xfId="0" applyFont="1" applyFill="1" applyBorder="1" applyAlignment="1">
      <alignment horizontal="center" vertical="center" wrapText="1"/>
    </xf>
    <xf numFmtId="0" fontId="15" fillId="0" borderId="28" xfId="0" applyFont="1" applyFill="1" applyBorder="1" applyAlignment="1">
      <alignment horizontal="center" vertical="center" wrapText="1"/>
    </xf>
    <xf numFmtId="17" fontId="14" fillId="0" borderId="22" xfId="32" applyFont="1" applyFill="1" applyBorder="1" applyAlignment="1" applyProtection="1">
      <alignment horizontal="center" vertical="center" wrapText="1"/>
    </xf>
    <xf numFmtId="17" fontId="14" fillId="0" borderId="34" xfId="32" applyFont="1" applyFill="1" applyBorder="1" applyAlignment="1" applyProtection="1">
      <alignment horizontal="center" vertical="center" wrapText="1"/>
    </xf>
    <xf numFmtId="17" fontId="14" fillId="0" borderId="49" xfId="32" applyFont="1" applyFill="1" applyBorder="1" applyAlignment="1" applyProtection="1">
      <alignment horizontal="center" vertical="center"/>
    </xf>
    <xf numFmtId="17" fontId="14" fillId="0" borderId="20" xfId="32" applyFont="1" applyFill="1" applyBorder="1" applyAlignment="1" applyProtection="1">
      <alignment horizontal="center" vertical="center"/>
    </xf>
    <xf numFmtId="0" fontId="15" fillId="25" borderId="50" xfId="0" applyFont="1" applyFill="1" applyBorder="1" applyAlignment="1">
      <alignment horizontal="center" vertical="center" textRotation="90" wrapText="1"/>
    </xf>
    <xf numFmtId="17" fontId="14" fillId="0" borderId="51" xfId="32" applyFont="1" applyFill="1" applyBorder="1" applyAlignment="1" applyProtection="1">
      <alignment horizontal="center" vertical="center"/>
    </xf>
    <xf numFmtId="17" fontId="14" fillId="0" borderId="21" xfId="32" applyFont="1" applyFill="1" applyBorder="1" applyAlignment="1" applyProtection="1">
      <alignment horizontal="center" vertical="center"/>
    </xf>
    <xf numFmtId="0" fontId="15" fillId="0" borderId="54" xfId="0" applyFont="1" applyFill="1" applyBorder="1" applyAlignment="1">
      <alignment horizontal="center" vertical="center"/>
    </xf>
    <xf numFmtId="0" fontId="15" fillId="0" borderId="55" xfId="0" applyFont="1" applyFill="1" applyBorder="1" applyAlignment="1">
      <alignment horizontal="center" vertical="center"/>
    </xf>
    <xf numFmtId="0" fontId="15" fillId="0" borderId="56" xfId="0" applyFont="1" applyFill="1" applyBorder="1" applyAlignment="1">
      <alignment horizontal="center" vertical="center"/>
    </xf>
    <xf numFmtId="0" fontId="15" fillId="26" borderId="50" xfId="0" applyFont="1" applyFill="1" applyBorder="1" applyAlignment="1">
      <alignment horizontal="center" vertical="center" textRotation="90" wrapText="1"/>
    </xf>
    <xf numFmtId="0" fontId="15" fillId="0" borderId="6" xfId="0" applyFont="1" applyBorder="1" applyAlignment="1">
      <alignment horizontal="center" vertical="center"/>
    </xf>
    <xf numFmtId="17" fontId="15" fillId="24" borderId="5" xfId="32" applyFont="1" applyFill="1" applyBorder="1" applyAlignment="1" applyProtection="1">
      <alignment horizontal="center" vertical="center"/>
    </xf>
    <xf numFmtId="17" fontId="15" fillId="24" borderId="13" xfId="32" applyFont="1" applyFill="1" applyBorder="1" applyAlignment="1" applyProtection="1">
      <alignment horizontal="center" vertical="center"/>
    </xf>
    <xf numFmtId="17" fontId="15" fillId="24" borderId="18" xfId="32" applyFont="1" applyFill="1" applyBorder="1" applyAlignment="1" applyProtection="1">
      <alignment horizontal="center" vertical="center"/>
    </xf>
    <xf numFmtId="17" fontId="15" fillId="24" borderId="19" xfId="32" applyFont="1" applyFill="1" applyBorder="1" applyAlignment="1" applyProtection="1">
      <alignment horizontal="center" vertical="center"/>
    </xf>
    <xf numFmtId="17" fontId="14" fillId="0" borderId="57" xfId="32" applyFont="1" applyFill="1" applyBorder="1" applyAlignment="1" applyProtection="1">
      <alignment horizontal="center" vertical="center" textRotation="90" wrapText="1"/>
    </xf>
    <xf numFmtId="17" fontId="14" fillId="0" borderId="45" xfId="32" applyFont="1" applyFill="1" applyBorder="1" applyAlignment="1" applyProtection="1">
      <alignment horizontal="center" vertical="center" textRotation="90" wrapText="1"/>
    </xf>
    <xf numFmtId="17" fontId="14" fillId="0" borderId="58" xfId="32" applyFont="1" applyFill="1" applyBorder="1" applyAlignment="1" applyProtection="1">
      <alignment horizontal="center" vertical="center" textRotation="90" wrapText="1"/>
    </xf>
    <xf numFmtId="0" fontId="15" fillId="27" borderId="50" xfId="0" applyFont="1" applyFill="1" applyBorder="1" applyAlignment="1">
      <alignment horizontal="center" vertical="center" textRotation="90" wrapText="1"/>
    </xf>
    <xf numFmtId="17" fontId="14" fillId="0" borderId="49" xfId="32" applyFont="1" applyFill="1" applyBorder="1" applyAlignment="1" applyProtection="1">
      <alignment horizontal="center" vertical="center" wrapText="1"/>
    </xf>
    <xf numFmtId="17" fontId="14" fillId="0" borderId="20" xfId="32" applyFont="1" applyFill="1" applyBorder="1" applyAlignment="1" applyProtection="1">
      <alignment horizontal="center" vertical="center" wrapText="1"/>
    </xf>
    <xf numFmtId="17" fontId="14" fillId="0" borderId="53" xfId="32" applyFont="1" applyFill="1" applyBorder="1" applyAlignment="1" applyProtection="1">
      <alignment horizontal="center" vertical="center" wrapText="1"/>
    </xf>
    <xf numFmtId="0" fontId="16" fillId="0" borderId="5" xfId="0" applyFont="1" applyBorder="1" applyAlignment="1">
      <alignment horizontal="center" vertical="center"/>
    </xf>
    <xf numFmtId="0" fontId="16" fillId="0" borderId="13" xfId="0" applyFont="1" applyBorder="1" applyAlignment="1">
      <alignment horizontal="center" vertical="center"/>
    </xf>
    <xf numFmtId="0" fontId="16" fillId="0" borderId="14" xfId="0" applyFont="1" applyBorder="1" applyAlignment="1">
      <alignment horizontal="center" vertical="center"/>
    </xf>
    <xf numFmtId="0" fontId="15" fillId="24" borderId="52" xfId="0" applyFont="1" applyFill="1" applyBorder="1" applyAlignment="1">
      <alignment horizontal="center" vertical="center" textRotation="90" wrapText="1"/>
    </xf>
    <xf numFmtId="0" fontId="15" fillId="24" borderId="50" xfId="0" applyFont="1" applyFill="1" applyBorder="1" applyAlignment="1">
      <alignment horizontal="center" vertical="center" textRotation="90" wrapText="1"/>
    </xf>
  </cellXfs>
  <cellStyles count="38">
    <cellStyle name="20% - Énfasis1" xfId="1" builtinId="30" customBuiltin="1"/>
    <cellStyle name="20% - Énfasis2" xfId="2" builtinId="34" customBuiltin="1"/>
    <cellStyle name="20% - Énfasis3" xfId="3" builtinId="38" customBuiltin="1"/>
    <cellStyle name="20% - Énfasis4" xfId="4" builtinId="42" customBuiltin="1"/>
    <cellStyle name="20% - Énfasis5" xfId="5" builtinId="46" customBuiltin="1"/>
    <cellStyle name="20% - Énfasis6" xfId="6" builtinId="50" customBuiltin="1"/>
    <cellStyle name="40% - Énfasis1" xfId="7" builtinId="31" customBuiltin="1"/>
    <cellStyle name="40% - Énfasis2" xfId="8" builtinId="35" customBuiltin="1"/>
    <cellStyle name="40% - Énfasis3" xfId="9" builtinId="39" customBuiltin="1"/>
    <cellStyle name="40% - Énfasis4" xfId="10" builtinId="43" customBuiltin="1"/>
    <cellStyle name="40% - Énfasis5" xfId="11" builtinId="47" customBuiltin="1"/>
    <cellStyle name="40% - Énfasis6" xfId="12" builtinId="51" customBuiltin="1"/>
    <cellStyle name="60% - Énfasis1" xfId="13" builtinId="32" customBuiltin="1"/>
    <cellStyle name="60% - Énfasis2" xfId="14" builtinId="36" customBuiltin="1"/>
    <cellStyle name="60% - Énfasis3" xfId="15" builtinId="40" customBuiltin="1"/>
    <cellStyle name="60% - Énfasis4" xfId="16" builtinId="44" customBuiltin="1"/>
    <cellStyle name="60% - Énfasis5" xfId="17" builtinId="48" customBuiltin="1"/>
    <cellStyle name="60% - Énfasis6" xfId="18" builtinId="52" customBuiltin="1"/>
    <cellStyle name="Celda vinculada" xfId="19" builtinId="24" customBuiltin="1"/>
    <cellStyle name="Encabezado 4" xfId="20" builtinId="19" customBuiltin="1"/>
    <cellStyle name="Énfasis1" xfId="21" builtinId="29" customBuiltin="1"/>
    <cellStyle name="Énfasis2" xfId="22" builtinId="33" customBuiltin="1"/>
    <cellStyle name="Énfasis3" xfId="23" builtinId="37" customBuiltin="1"/>
    <cellStyle name="Énfasis4" xfId="24" builtinId="41" customBuiltin="1"/>
    <cellStyle name="Énfasis5" xfId="25" builtinId="45" customBuiltin="1"/>
    <cellStyle name="Énfasis6" xfId="26" builtinId="49" customBuiltin="1"/>
    <cellStyle name="Entrada" xfId="27" builtinId="20" customBuiltin="1"/>
    <cellStyle name="Euro" xfId="28" xr:uid="{00000000-0005-0000-0000-00001B000000}"/>
    <cellStyle name="Incorrecto" xfId="29" builtinId="27" customBuiltin="1"/>
    <cellStyle name="Neutral" xfId="30" builtinId="28" customBuiltin="1"/>
    <cellStyle name="Normal" xfId="0" builtinId="0"/>
    <cellStyle name="Normal 2" xfId="31" xr:uid="{00000000-0005-0000-0000-00001F000000}"/>
    <cellStyle name="Normal 3" xfId="32" xr:uid="{00000000-0005-0000-0000-000020000000}"/>
    <cellStyle name="Porcentaje" xfId="33" builtinId="5"/>
    <cellStyle name="Porcentual 2" xfId="34" xr:uid="{00000000-0005-0000-0000-000022000000}"/>
    <cellStyle name="Salida" xfId="35" builtinId="21" customBuiltin="1"/>
    <cellStyle name="Título" xfId="36" builtinId="15" customBuiltin="1"/>
    <cellStyle name="Total" xfId="37" builtinId="25" customBuiltin="1"/>
  </cellStyles>
  <dxfs count="64">
    <dxf>
      <fill>
        <patternFill>
          <bgColor theme="2"/>
        </patternFill>
      </fill>
    </dxf>
    <dxf>
      <fill>
        <patternFill>
          <bgColor theme="2" tint="-9.9948118533890809E-2"/>
        </patternFill>
      </fill>
    </dxf>
    <dxf>
      <fill>
        <patternFill>
          <bgColor rgb="FF92D050"/>
        </patternFill>
      </fill>
    </dxf>
    <dxf>
      <fill>
        <patternFill>
          <bgColor rgb="FFFFC7CE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rgb="FF92D050"/>
        </patternFill>
      </fill>
    </dxf>
    <dxf>
      <fill>
        <patternFill>
          <bgColor theme="2"/>
        </patternFill>
      </fill>
    </dxf>
    <dxf>
      <fill>
        <patternFill>
          <bgColor theme="2" tint="-9.9948118533890809E-2"/>
        </patternFill>
      </fill>
    </dxf>
    <dxf>
      <fill>
        <patternFill>
          <bgColor rgb="FF92D050"/>
        </patternFill>
      </fill>
    </dxf>
    <dxf>
      <fill>
        <patternFill>
          <bgColor rgb="FFFFC7CE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rgb="FF92D050"/>
        </patternFill>
      </fill>
    </dxf>
    <dxf>
      <fill>
        <patternFill>
          <bgColor theme="2"/>
        </patternFill>
      </fill>
    </dxf>
    <dxf>
      <fill>
        <patternFill>
          <bgColor theme="2" tint="-9.9948118533890809E-2"/>
        </patternFill>
      </fill>
    </dxf>
    <dxf>
      <fill>
        <patternFill>
          <bgColor rgb="FF92D050"/>
        </patternFill>
      </fill>
    </dxf>
    <dxf>
      <fill>
        <patternFill>
          <bgColor rgb="FFFFC7CE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rgb="FF92D050"/>
        </patternFill>
      </fill>
    </dxf>
    <dxf>
      <fill>
        <patternFill>
          <bgColor theme="2"/>
        </patternFill>
      </fill>
    </dxf>
    <dxf>
      <fill>
        <patternFill>
          <bgColor theme="2" tint="-9.9948118533890809E-2"/>
        </patternFill>
      </fill>
    </dxf>
    <dxf>
      <fill>
        <patternFill>
          <bgColor rgb="FF92D050"/>
        </patternFill>
      </fill>
    </dxf>
    <dxf>
      <fill>
        <patternFill>
          <bgColor rgb="FFFFC7CE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rgb="FF92D050"/>
        </patternFill>
      </fill>
    </dxf>
    <dxf>
      <fill>
        <patternFill>
          <bgColor theme="2"/>
        </patternFill>
      </fill>
    </dxf>
    <dxf>
      <fill>
        <patternFill>
          <bgColor theme="2" tint="-9.9948118533890809E-2"/>
        </patternFill>
      </fill>
    </dxf>
    <dxf>
      <fill>
        <patternFill>
          <bgColor rgb="FF92D050"/>
        </patternFill>
      </fill>
    </dxf>
    <dxf>
      <fill>
        <patternFill>
          <bgColor rgb="FFFFC7CE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rgb="FF92D050"/>
        </patternFill>
      </fill>
    </dxf>
    <dxf>
      <fill>
        <patternFill>
          <bgColor theme="2"/>
        </patternFill>
      </fill>
    </dxf>
    <dxf>
      <fill>
        <patternFill>
          <bgColor theme="2" tint="-9.9948118533890809E-2"/>
        </patternFill>
      </fill>
    </dxf>
    <dxf>
      <fill>
        <patternFill>
          <bgColor rgb="FF92D050"/>
        </patternFill>
      </fill>
    </dxf>
    <dxf>
      <fill>
        <patternFill>
          <bgColor rgb="FFFFC7CE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rgb="FF92D050"/>
        </patternFill>
      </fill>
    </dxf>
    <dxf>
      <fill>
        <patternFill>
          <bgColor theme="2"/>
        </patternFill>
      </fill>
    </dxf>
    <dxf>
      <fill>
        <patternFill>
          <bgColor theme="2" tint="-9.9948118533890809E-2"/>
        </patternFill>
      </fill>
    </dxf>
    <dxf>
      <fill>
        <patternFill>
          <bgColor rgb="FF92D050"/>
        </patternFill>
      </fill>
    </dxf>
    <dxf>
      <fill>
        <patternFill>
          <bgColor rgb="FFFFC7CE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rgb="FF92D050"/>
        </patternFill>
      </fill>
    </dxf>
    <dxf>
      <fill>
        <patternFill>
          <bgColor theme="2"/>
        </patternFill>
      </fill>
    </dxf>
    <dxf>
      <fill>
        <patternFill>
          <bgColor theme="2" tint="-9.9948118533890809E-2"/>
        </patternFill>
      </fill>
    </dxf>
    <dxf>
      <fill>
        <patternFill>
          <bgColor rgb="FF92D050"/>
        </patternFill>
      </fill>
    </dxf>
    <dxf>
      <fill>
        <patternFill>
          <bgColor rgb="FFFFC7CE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rgb="FF92D050"/>
        </patternFill>
      </fill>
    </dxf>
  </dxfs>
  <tableStyles count="0" defaultTableStyle="TableStyleMedium9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DD0806"/>
      <rgbColor rgb="001FB714"/>
      <rgbColor rgb="000000D4"/>
      <rgbColor rgb="00FCF305"/>
      <rgbColor rgb="00F20884"/>
      <rgbColor rgb="0000ABEA"/>
      <rgbColor rgb="00900000"/>
      <rgbColor rgb="00006411"/>
      <rgbColor rgb="00000090"/>
      <rgbColor rgb="0090713A"/>
      <rgbColor rgb="004600A5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 b="1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r>
              <a:rPr lang="es-CO"/>
              <a:t>Seguimiento al Cumplimiento del plan de Trabajo del SGSST Vigencia</a:t>
            </a:r>
          </a:p>
        </c:rich>
      </c:tx>
      <c:layout>
        <c:manualLayout>
          <c:xMode val="edge"/>
          <c:yMode val="edge"/>
          <c:x val="0.1260931067827048"/>
          <c:y val="4.2595776445375516E-2"/>
        </c:manualLayout>
      </c:layout>
      <c:overlay val="0"/>
      <c:spPr>
        <a:noFill/>
        <a:ln w="25400">
          <a:noFill/>
        </a:ln>
      </c:sp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% Cumplimiento Mensual</c:v>
          </c:tx>
          <c:spPr>
            <a:ln w="12700">
              <a:solidFill>
                <a:srgbClr val="99CC0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92D050"/>
              </a:solidFill>
              <a:ln>
                <a:solidFill>
                  <a:srgbClr val="99CC00"/>
                </a:solidFill>
                <a:prstDash val="solid"/>
              </a:ln>
            </c:spPr>
          </c:marker>
          <c:cat>
            <c:strRef>
              <c:f>' Plan de Trabajo SST'!$C$46:$Z$46</c:f>
              <c:strCache>
                <c:ptCount val="23"/>
                <c:pt idx="0">
                  <c:v>ENE</c:v>
                </c:pt>
                <c:pt idx="2">
                  <c:v>FEB</c:v>
                </c:pt>
                <c:pt idx="4">
                  <c:v>MAR</c:v>
                </c:pt>
                <c:pt idx="6">
                  <c:v>ABR</c:v>
                </c:pt>
                <c:pt idx="8">
                  <c:v>MAY</c:v>
                </c:pt>
                <c:pt idx="10">
                  <c:v>JUN</c:v>
                </c:pt>
                <c:pt idx="12">
                  <c:v>JUL</c:v>
                </c:pt>
                <c:pt idx="14">
                  <c:v>AGO</c:v>
                </c:pt>
                <c:pt idx="16">
                  <c:v>SEP</c:v>
                </c:pt>
                <c:pt idx="18">
                  <c:v>OCT</c:v>
                </c:pt>
                <c:pt idx="20">
                  <c:v>NOV</c:v>
                </c:pt>
                <c:pt idx="22">
                  <c:v>DIC</c:v>
                </c:pt>
              </c:strCache>
            </c:strRef>
          </c:cat>
          <c:val>
            <c:numRef>
              <c:f>' Plan de Trabajo SST'!$C$48:$Z$48</c:f>
              <c:numCache>
                <c:formatCode>0%</c:formatCode>
                <c:ptCount val="24"/>
                <c:pt idx="0">
                  <c:v>1</c:v>
                </c:pt>
                <c:pt idx="2">
                  <c:v>1</c:v>
                </c:pt>
                <c:pt idx="4">
                  <c:v>0.75</c:v>
                </c:pt>
                <c:pt idx="6">
                  <c:v>1</c:v>
                </c:pt>
                <c:pt idx="8">
                  <c:v>1</c:v>
                </c:pt>
                <c:pt idx="10">
                  <c:v>0.81818181818181823</c:v>
                </c:pt>
                <c:pt idx="12">
                  <c:v>1</c:v>
                </c:pt>
                <c:pt idx="14">
                  <c:v>1</c:v>
                </c:pt>
                <c:pt idx="16">
                  <c:v>0</c:v>
                </c:pt>
                <c:pt idx="18">
                  <c:v>0</c:v>
                </c:pt>
                <c:pt idx="20">
                  <c:v>0</c:v>
                </c:pt>
                <c:pt idx="22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90B-47D8-9833-D0147C52A659}"/>
            </c:ext>
          </c:extLst>
        </c:ser>
        <c:ser>
          <c:idx val="1"/>
          <c:order val="1"/>
          <c:tx>
            <c:v>Meta Vigencia</c:v>
          </c:tx>
          <c:spPr>
            <a:ln w="12700">
              <a:solidFill>
                <a:srgbClr val="993366"/>
              </a:solidFill>
              <a:prstDash val="solid"/>
            </a:ln>
          </c:spPr>
          <c:marker>
            <c:spPr>
              <a:solidFill>
                <a:srgbClr val="FF0000"/>
              </a:solidFill>
              <a:ln>
                <a:solidFill>
                  <a:srgbClr val="993366"/>
                </a:solidFill>
                <a:prstDash val="solid"/>
              </a:ln>
            </c:spPr>
          </c:marker>
          <c:cat>
            <c:strRef>
              <c:f>' Plan de Trabajo SST'!$C$46:$Z$46</c:f>
              <c:strCache>
                <c:ptCount val="23"/>
                <c:pt idx="0">
                  <c:v>ENE</c:v>
                </c:pt>
                <c:pt idx="2">
                  <c:v>FEB</c:v>
                </c:pt>
                <c:pt idx="4">
                  <c:v>MAR</c:v>
                </c:pt>
                <c:pt idx="6">
                  <c:v>ABR</c:v>
                </c:pt>
                <c:pt idx="8">
                  <c:v>MAY</c:v>
                </c:pt>
                <c:pt idx="10">
                  <c:v>JUN</c:v>
                </c:pt>
                <c:pt idx="12">
                  <c:v>JUL</c:v>
                </c:pt>
                <c:pt idx="14">
                  <c:v>AGO</c:v>
                </c:pt>
                <c:pt idx="16">
                  <c:v>SEP</c:v>
                </c:pt>
                <c:pt idx="18">
                  <c:v>OCT</c:v>
                </c:pt>
                <c:pt idx="20">
                  <c:v>NOV</c:v>
                </c:pt>
                <c:pt idx="22">
                  <c:v>DIC</c:v>
                </c:pt>
              </c:strCache>
            </c:strRef>
          </c:cat>
          <c:val>
            <c:numRef>
              <c:f>' Plan de Trabajo SST'!$C$49:$Z$49</c:f>
              <c:numCache>
                <c:formatCode>0%</c:formatCode>
                <c:ptCount val="24"/>
                <c:pt idx="0">
                  <c:v>0.9</c:v>
                </c:pt>
                <c:pt idx="2">
                  <c:v>0.9</c:v>
                </c:pt>
                <c:pt idx="4">
                  <c:v>0.9</c:v>
                </c:pt>
                <c:pt idx="6">
                  <c:v>0.9</c:v>
                </c:pt>
                <c:pt idx="8">
                  <c:v>0.9</c:v>
                </c:pt>
                <c:pt idx="10">
                  <c:v>0.9</c:v>
                </c:pt>
                <c:pt idx="12">
                  <c:v>0.9</c:v>
                </c:pt>
                <c:pt idx="14">
                  <c:v>0.9</c:v>
                </c:pt>
                <c:pt idx="16">
                  <c:v>0.9</c:v>
                </c:pt>
                <c:pt idx="18">
                  <c:v>0.9</c:v>
                </c:pt>
                <c:pt idx="20">
                  <c:v>0.9</c:v>
                </c:pt>
                <c:pt idx="22">
                  <c:v>0.9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590B-47D8-9833-D0147C52A65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543378832"/>
        <c:axId val="1543383184"/>
      </c:lineChart>
      <c:catAx>
        <c:axId val="154337883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ln w="3175">
            <a:solidFill>
              <a:srgbClr val="808080"/>
            </a:solidFill>
            <a:prstDash val="solid"/>
          </a:ln>
        </c:spPr>
        <c:txPr>
          <a:bodyPr rot="-27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s-CO"/>
          </a:p>
        </c:txPr>
        <c:crossAx val="1543383184"/>
        <c:crosses val="autoZero"/>
        <c:auto val="1"/>
        <c:lblAlgn val="ctr"/>
        <c:lblOffset val="100"/>
        <c:noMultiLvlLbl val="0"/>
      </c:catAx>
      <c:valAx>
        <c:axId val="1543383184"/>
        <c:scaling>
          <c:orientation val="minMax"/>
        </c:scaling>
        <c:delete val="0"/>
        <c:axPos val="l"/>
        <c:majorGridlines>
          <c:spPr>
            <a:ln w="3175">
              <a:solidFill>
                <a:srgbClr val="80808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000" b="1" i="0" u="none" strike="noStrike" baseline="0">
                    <a:solidFill>
                      <a:srgbClr val="000000"/>
                    </a:solidFill>
                    <a:latin typeface="Calibri"/>
                    <a:ea typeface="Calibri"/>
                    <a:cs typeface="Calibri"/>
                  </a:defRPr>
                </a:pPr>
                <a:r>
                  <a:rPr lang="es-CO"/>
                  <a:t>%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0%" sourceLinked="1"/>
        <c:majorTickMark val="none"/>
        <c:minorTickMark val="none"/>
        <c:tickLblPos val="nextTo"/>
        <c:spPr>
          <a:ln w="3175">
            <a:solidFill>
              <a:srgbClr val="808080"/>
            </a:solidFill>
            <a:prstDash val="solid"/>
          </a:ln>
        </c:spPr>
        <c:txPr>
          <a:bodyPr rot="0" vert="horz"/>
          <a:lstStyle/>
          <a:p>
            <a:pPr>
              <a:defRPr sz="9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s-CO"/>
          </a:p>
        </c:txPr>
        <c:crossAx val="1543378832"/>
        <c:crosses val="autoZero"/>
        <c:crossBetween val="between"/>
      </c:valAx>
      <c:spPr>
        <a:solidFill>
          <a:srgbClr val="FFFFFF"/>
        </a:solidFill>
        <a:ln w="25400">
          <a:noFill/>
        </a:ln>
      </c:spPr>
    </c:plotArea>
    <c:legend>
      <c:legendPos val="r"/>
      <c:layout>
        <c:manualLayout>
          <c:xMode val="edge"/>
          <c:yMode val="edge"/>
          <c:x val="0.71026536814477137"/>
          <c:y val="0.50950580718694571"/>
          <c:w val="0.27152327669567622"/>
          <c:h val="0.17490492587509132"/>
        </c:manualLayout>
      </c:layout>
      <c:overlay val="0"/>
      <c:spPr>
        <a:noFill/>
        <a:ln w="25400">
          <a:noFill/>
        </a:ln>
      </c:spPr>
      <c:txPr>
        <a:bodyPr/>
        <a:lstStyle/>
        <a:p>
          <a:pPr>
            <a:defRPr sz="440" b="0" i="0" u="none" strike="noStrike" baseline="0">
              <a:solidFill>
                <a:srgbClr val="000000"/>
              </a:solidFill>
              <a:latin typeface="Calibri"/>
              <a:ea typeface="Calibri"/>
              <a:cs typeface="Calibri"/>
            </a:defRPr>
          </a:pPr>
          <a:endParaRPr lang="es-CO"/>
        </a:p>
      </c:txPr>
    </c:legend>
    <c:plotVisOnly val="0"/>
    <c:dispBlanksAs val="span"/>
    <c:showDLblsOverMax val="0"/>
  </c:chart>
  <c:spPr>
    <a:solidFill>
      <a:srgbClr val="FFFFFF"/>
    </a:solidFill>
    <a:ln w="3175">
      <a:solidFill>
        <a:srgbClr val="80808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s-CO"/>
    </a:p>
  </c:txPr>
  <c:printSettings>
    <c:headerFooter alignWithMargins="0"/>
    <c:pageMargins b="0.75000000000000011" l="0.70000000000000007" r="0.70000000000000007" t="0.75000000000000011" header="0.30000000000000004" footer="0.30000000000000004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320" b="1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r>
              <a:rPr lang="es-CO"/>
              <a:t>% Cumplimiento de Ejecución del SGSST Vigencia</a:t>
            </a:r>
          </a:p>
        </c:rich>
      </c:tx>
      <c:layout>
        <c:manualLayout>
          <c:xMode val="edge"/>
          <c:yMode val="edge"/>
          <c:x val="0.23150666262870986"/>
          <c:y val="4.8387107099417452E-2"/>
        </c:manualLayout>
      </c:layout>
      <c:overlay val="0"/>
      <c:spPr>
        <a:noFill/>
        <a:ln w="25400">
          <a:noFill/>
        </a:ln>
      </c:spPr>
    </c:title>
    <c:autoTitleDeleted val="0"/>
    <c:view3D>
      <c:rotX val="15"/>
      <c:rotY val="20"/>
      <c:depthPercent val="100"/>
      <c:rAngAx val="1"/>
    </c:view3D>
    <c:floor>
      <c:thickness val="0"/>
      <c:spPr>
        <a:noFill/>
        <a:ln w="3175">
          <a:solidFill>
            <a:srgbClr val="808080"/>
          </a:solidFill>
          <a:prstDash val="solid"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/>
      <c:bar3DChart>
        <c:barDir val="col"/>
        <c:grouping val="clustered"/>
        <c:varyColors val="0"/>
        <c:ser>
          <c:idx val="0"/>
          <c:order val="0"/>
          <c:tx>
            <c:v>% Cumplimiento</c:v>
          </c:tx>
          <c:spPr>
            <a:solidFill>
              <a:srgbClr val="92D050"/>
            </a:solidFill>
            <a:ln w="25400">
              <a:noFill/>
            </a:ln>
          </c:spPr>
          <c:invertIfNegative val="0"/>
          <c:dLbls>
            <c:dLbl>
              <c:idx val="0"/>
              <c:layout>
                <c:manualLayout>
                  <c:x val="2.6402640264026406E-2"/>
                  <c:y val="-0.10228802153432"/>
                </c:manualLayout>
              </c:layout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1100" b="0" i="0" u="none" strike="noStrike" baseline="0">
                      <a:solidFill>
                        <a:srgbClr val="000000"/>
                      </a:solidFill>
                      <a:latin typeface="Calibri"/>
                      <a:ea typeface="Calibri"/>
                      <a:cs typeface="Calibri"/>
                    </a:defRPr>
                  </a:pPr>
                  <a:endParaRPr lang="es-CO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C576-43BC-B8C6-B4BE5D61FCED}"/>
                </c:ext>
              </c:extLst>
            </c:dLbl>
            <c:spPr>
              <a:noFill/>
              <a:ln w="25400">
                <a:noFill/>
              </a:ln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 b="0" i="0" u="none" strike="noStrike" baseline="0">
                    <a:solidFill>
                      <a:srgbClr val="000000"/>
                    </a:solidFill>
                    <a:latin typeface="Calibri"/>
                    <a:ea typeface="Calibri"/>
                    <a:cs typeface="Calibri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Lit>
              <c:ptCount val="1"/>
              <c:pt idx="0">
                <c:v>_x0001_%</c:v>
              </c:pt>
            </c:strLit>
          </c:cat>
          <c:val>
            <c:numRef>
              <c:f>' Plan de Trabajo SST'!$AD$47</c:f>
              <c:numCache>
                <c:formatCode>0%</c:formatCode>
                <c:ptCount val="1"/>
                <c:pt idx="0">
                  <c:v>0.5957446808510638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576-43BC-B8C6-B4BE5D61FCED}"/>
            </c:ext>
          </c:extLst>
        </c:ser>
        <c:ser>
          <c:idx val="2"/>
          <c:order val="1"/>
          <c:tx>
            <c:v>% Meta</c:v>
          </c:tx>
          <c:spPr>
            <a:solidFill>
              <a:srgbClr val="FF0000"/>
            </a:solidFill>
            <a:ln w="25400">
              <a:noFill/>
            </a:ln>
          </c:spPr>
          <c:invertIfNegative val="0"/>
          <c:dPt>
            <c:idx val="0"/>
            <c:invertIfNegative val="0"/>
            <c:bubble3D val="0"/>
            <c:spPr>
              <a:solidFill>
                <a:srgbClr val="F79646"/>
              </a:solidFill>
              <a:ln w="25400">
                <a:noFill/>
              </a:ln>
            </c:spPr>
            <c:extLst>
              <c:ext xmlns:c16="http://schemas.microsoft.com/office/drawing/2014/chart" uri="{C3380CC4-5D6E-409C-BE32-E72D297353CC}">
                <c16:uniqueId val="{00000002-C576-43BC-B8C6-B4BE5D61FCED}"/>
              </c:ext>
            </c:extLst>
          </c:dPt>
          <c:dLbls>
            <c:dLbl>
              <c:idx val="0"/>
              <c:layout>
                <c:manualLayout>
                  <c:x val="5.940594059405941E-2"/>
                  <c:y val="-0.10228802153432"/>
                </c:manualLayout>
              </c:layout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1100" b="0" i="0" u="none" strike="noStrike" baseline="0">
                      <a:solidFill>
                        <a:srgbClr val="000000"/>
                      </a:solidFill>
                      <a:latin typeface="Calibri"/>
                      <a:ea typeface="Calibri"/>
                      <a:cs typeface="Calibri"/>
                    </a:defRPr>
                  </a:pPr>
                  <a:endParaRPr lang="es-CO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C576-43BC-B8C6-B4BE5D61FCED}"/>
                </c:ext>
              </c:extLst>
            </c:dLbl>
            <c:spPr>
              <a:noFill/>
              <a:ln w="25400">
                <a:noFill/>
              </a:ln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 b="0" i="0" u="none" strike="noStrike" baseline="0">
                    <a:solidFill>
                      <a:srgbClr val="000000"/>
                    </a:solidFill>
                    <a:latin typeface="Calibri"/>
                    <a:ea typeface="Calibri"/>
                    <a:cs typeface="Calibri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Lit>
              <c:ptCount val="1"/>
              <c:pt idx="0">
                <c:v>_x0001_%</c:v>
              </c:pt>
            </c:strLit>
          </c:cat>
          <c:val>
            <c:numRef>
              <c:f>' Plan de Trabajo SST'!$AD$49</c:f>
              <c:numCache>
                <c:formatCode>0%</c:formatCode>
                <c:ptCount val="1"/>
                <c:pt idx="0">
                  <c:v>0.9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C576-43BC-B8C6-B4BE5D61FCE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shape val="box"/>
        <c:axId val="1543384816"/>
        <c:axId val="1543385360"/>
        <c:axId val="0"/>
      </c:bar3DChart>
      <c:catAx>
        <c:axId val="154338481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ln w="3175">
            <a:solidFill>
              <a:srgbClr val="808080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s-CO"/>
          </a:p>
        </c:txPr>
        <c:crossAx val="1543385360"/>
        <c:crosses val="autoZero"/>
        <c:auto val="1"/>
        <c:lblAlgn val="ctr"/>
        <c:lblOffset val="100"/>
        <c:noMultiLvlLbl val="0"/>
      </c:catAx>
      <c:valAx>
        <c:axId val="1543385360"/>
        <c:scaling>
          <c:orientation val="minMax"/>
        </c:scaling>
        <c:delete val="0"/>
        <c:axPos val="l"/>
        <c:majorGridlines>
          <c:spPr>
            <a:ln w="3175">
              <a:solidFill>
                <a:srgbClr val="808080"/>
              </a:solidFill>
              <a:prstDash val="solid"/>
            </a:ln>
          </c:spPr>
        </c:majorGridlines>
        <c:numFmt formatCode="0%" sourceLinked="1"/>
        <c:majorTickMark val="none"/>
        <c:minorTickMark val="none"/>
        <c:tickLblPos val="nextTo"/>
        <c:spPr>
          <a:ln w="3175">
            <a:solidFill>
              <a:srgbClr val="808080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s-CO"/>
          </a:p>
        </c:txPr>
        <c:crossAx val="1543384816"/>
        <c:crosses val="autoZero"/>
        <c:crossBetween val="between"/>
        <c:majorUnit val="0.1"/>
        <c:minorUnit val="0.1"/>
      </c:valAx>
      <c:spPr>
        <a:noFill/>
        <a:ln w="25400">
          <a:noFill/>
        </a:ln>
      </c:spPr>
    </c:plotArea>
    <c:legend>
      <c:legendPos val="r"/>
      <c:layout>
        <c:manualLayout>
          <c:xMode val="edge"/>
          <c:yMode val="edge"/>
          <c:x val="0.74551467124301773"/>
          <c:y val="0.57954740413545869"/>
          <c:w val="0.20391530385624879"/>
          <c:h val="0.20454612380769477"/>
        </c:manualLayout>
      </c:layout>
      <c:overlay val="0"/>
      <c:spPr>
        <a:noFill/>
        <a:ln w="25400">
          <a:noFill/>
        </a:ln>
      </c:spPr>
      <c:txPr>
        <a:bodyPr/>
        <a:lstStyle/>
        <a:p>
          <a:pPr>
            <a:defRPr sz="655" b="0" i="0" u="none" strike="noStrike" baseline="0">
              <a:solidFill>
                <a:srgbClr val="000000"/>
              </a:solidFill>
              <a:latin typeface="Calibri"/>
              <a:ea typeface="Calibri"/>
              <a:cs typeface="Calibri"/>
            </a:defRPr>
          </a:pPr>
          <a:endParaRPr lang="es-CO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808080"/>
      </a:solidFill>
      <a:prstDash val="solid"/>
    </a:ln>
  </c:spPr>
  <c:txPr>
    <a:bodyPr/>
    <a:lstStyle/>
    <a:p>
      <a:pPr>
        <a:defRPr sz="11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s-CO"/>
    </a:p>
  </c:txPr>
  <c:printSettings>
    <c:headerFooter alignWithMargins="0"/>
    <c:pageMargins b="0.75000000000000011" l="0.70000000000000007" r="0.70000000000000007" t="0.75000000000000011" header="0.30000000000000004" footer="0.30000000000000004"/>
    <c:pageSetup/>
  </c:printSettings>
</c:chartSpac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1.jpeg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85725</xdr:colOff>
      <xdr:row>50</xdr:row>
      <xdr:rowOff>0</xdr:rowOff>
    </xdr:from>
    <xdr:to>
      <xdr:col>16</xdr:col>
      <xdr:colOff>209550</xdr:colOff>
      <xdr:row>66</xdr:row>
      <xdr:rowOff>66675</xdr:rowOff>
    </xdr:to>
    <xdr:graphicFrame macro="">
      <xdr:nvGraphicFramePr>
        <xdr:cNvPr id="5198974" name="1 Gráfico">
          <a:extLst>
            <a:ext uri="{FF2B5EF4-FFF2-40B4-BE49-F238E27FC236}">
              <a16:creationId xmlns:a16="http://schemas.microsoft.com/office/drawing/2014/main" id="{15F7505F-5E61-4C80-966E-6BE5B9BB69E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219075</xdr:colOff>
      <xdr:row>50</xdr:row>
      <xdr:rowOff>9525</xdr:rowOff>
    </xdr:from>
    <xdr:to>
      <xdr:col>29</xdr:col>
      <xdr:colOff>1533525</xdr:colOff>
      <xdr:row>66</xdr:row>
      <xdr:rowOff>85725</xdr:rowOff>
    </xdr:to>
    <xdr:graphicFrame macro="">
      <xdr:nvGraphicFramePr>
        <xdr:cNvPr id="5198975" name="4 Gráfico">
          <a:extLst>
            <a:ext uri="{FF2B5EF4-FFF2-40B4-BE49-F238E27FC236}">
              <a16:creationId xmlns:a16="http://schemas.microsoft.com/office/drawing/2014/main" id="{4F3A329A-2487-470C-9DE0-73385EB73B3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0</xdr:col>
      <xdr:colOff>504825</xdr:colOff>
      <xdr:row>0</xdr:row>
      <xdr:rowOff>66675</xdr:rowOff>
    </xdr:from>
    <xdr:to>
      <xdr:col>1</xdr:col>
      <xdr:colOff>2447925</xdr:colOff>
      <xdr:row>2</xdr:row>
      <xdr:rowOff>466725</xdr:rowOff>
    </xdr:to>
    <xdr:pic>
      <xdr:nvPicPr>
        <xdr:cNvPr id="5198976" name="Imagen 2">
          <a:extLst>
            <a:ext uri="{FF2B5EF4-FFF2-40B4-BE49-F238E27FC236}">
              <a16:creationId xmlns:a16="http://schemas.microsoft.com/office/drawing/2014/main" id="{E7ABB08D-8341-4091-B74D-27C8D7166A1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 t="16559"/>
        <a:stretch>
          <a:fillRect/>
        </a:stretch>
      </xdr:blipFill>
      <xdr:spPr bwMode="auto">
        <a:xfrm>
          <a:off x="504825" y="66675"/>
          <a:ext cx="2505075" cy="15240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>
    <tabColor theme="4" tint="-0.249977111117893"/>
    <pageSetUpPr fitToPage="1"/>
  </sheetPr>
  <dimension ref="A1:AF69"/>
  <sheetViews>
    <sheetView showGridLines="0" tabSelected="1" topLeftCell="C45" zoomScaleNormal="100" zoomScaleSheetLayoutView="55" zoomScalePageLayoutView="60" workbookViewId="0">
      <selection activeCell="A46" sqref="A46:AD49"/>
    </sheetView>
  </sheetViews>
  <sheetFormatPr baseColWidth="10" defaultRowHeight="15" x14ac:dyDescent="0.2"/>
  <cols>
    <col min="1" max="1" width="8.42578125" style="1" customWidth="1"/>
    <col min="2" max="2" width="49.5703125" style="1" customWidth="1"/>
    <col min="3" max="26" width="4.140625" style="1" customWidth="1"/>
    <col min="27" max="27" width="20.42578125" style="5" customWidth="1"/>
    <col min="28" max="28" width="5.7109375" style="5" customWidth="1"/>
    <col min="29" max="29" width="6.42578125" style="5" customWidth="1"/>
    <col min="30" max="30" width="35.140625" style="1" customWidth="1"/>
    <col min="31" max="16384" width="11.42578125" style="1"/>
  </cols>
  <sheetData>
    <row r="1" spans="1:32" ht="44.25" customHeight="1" thickBot="1" x14ac:dyDescent="0.25">
      <c r="A1" s="107"/>
      <c r="B1" s="107"/>
      <c r="C1" s="34" t="s">
        <v>84</v>
      </c>
      <c r="D1" s="34"/>
      <c r="E1" s="34"/>
      <c r="F1" s="34"/>
      <c r="G1" s="34"/>
      <c r="H1" s="34"/>
      <c r="I1" s="34"/>
      <c r="J1" s="34"/>
      <c r="K1" s="34"/>
      <c r="L1" s="34"/>
      <c r="M1" s="34"/>
      <c r="N1" s="34"/>
      <c r="O1" s="34"/>
      <c r="P1" s="34"/>
      <c r="Q1" s="34"/>
      <c r="R1" s="34"/>
      <c r="S1" s="34"/>
      <c r="T1" s="34"/>
      <c r="U1" s="34"/>
      <c r="V1" s="34"/>
      <c r="W1" s="34"/>
      <c r="X1" s="34"/>
      <c r="Y1" s="34"/>
      <c r="Z1" s="34"/>
      <c r="AA1" s="34"/>
      <c r="AB1" s="36" t="s">
        <v>85</v>
      </c>
      <c r="AC1" s="36"/>
      <c r="AD1" s="36"/>
    </row>
    <row r="2" spans="1:32" ht="44.25" customHeight="1" thickBot="1" x14ac:dyDescent="0.25">
      <c r="A2" s="107"/>
      <c r="B2" s="107"/>
      <c r="C2" s="35" t="s">
        <v>49</v>
      </c>
      <c r="D2" s="35"/>
      <c r="E2" s="35"/>
      <c r="F2" s="35"/>
      <c r="G2" s="35"/>
      <c r="H2" s="35"/>
      <c r="I2" s="35"/>
      <c r="J2" s="35"/>
      <c r="K2" s="35"/>
      <c r="L2" s="35"/>
      <c r="M2" s="35"/>
      <c r="N2" s="35"/>
      <c r="O2" s="35"/>
      <c r="P2" s="35"/>
      <c r="Q2" s="35"/>
      <c r="R2" s="35"/>
      <c r="S2" s="35"/>
      <c r="T2" s="35"/>
      <c r="U2" s="35"/>
      <c r="V2" s="35"/>
      <c r="W2" s="35"/>
      <c r="X2" s="35"/>
      <c r="Y2" s="35"/>
      <c r="Z2" s="35"/>
      <c r="AA2" s="35"/>
      <c r="AB2" s="36" t="s">
        <v>86</v>
      </c>
      <c r="AC2" s="36"/>
      <c r="AD2" s="36"/>
    </row>
    <row r="3" spans="1:32" ht="44.25" customHeight="1" thickBot="1" x14ac:dyDescent="0.25">
      <c r="A3" s="107"/>
      <c r="B3" s="107"/>
      <c r="C3" s="35"/>
      <c r="D3" s="35"/>
      <c r="E3" s="35"/>
      <c r="F3" s="35"/>
      <c r="G3" s="35"/>
      <c r="H3" s="35"/>
      <c r="I3" s="35"/>
      <c r="J3" s="35"/>
      <c r="K3" s="35"/>
      <c r="L3" s="35"/>
      <c r="M3" s="35"/>
      <c r="N3" s="35"/>
      <c r="O3" s="35"/>
      <c r="P3" s="35"/>
      <c r="Q3" s="35"/>
      <c r="R3" s="35"/>
      <c r="S3" s="35"/>
      <c r="T3" s="35"/>
      <c r="U3" s="35"/>
      <c r="V3" s="35"/>
      <c r="W3" s="35"/>
      <c r="X3" s="35"/>
      <c r="Y3" s="35"/>
      <c r="Z3" s="35"/>
      <c r="AA3" s="35"/>
      <c r="AB3" s="36" t="s">
        <v>90</v>
      </c>
      <c r="AC3" s="36"/>
      <c r="AD3" s="36"/>
    </row>
    <row r="4" spans="1:32" ht="17.25" customHeight="1" thickBot="1" x14ac:dyDescent="0.25">
      <c r="A4" s="88"/>
      <c r="B4" s="89"/>
      <c r="C4" s="89"/>
      <c r="D4" s="89"/>
      <c r="E4" s="89"/>
      <c r="F4" s="89"/>
      <c r="G4" s="89"/>
      <c r="H4" s="89"/>
      <c r="I4" s="89"/>
      <c r="J4" s="89"/>
      <c r="K4" s="89"/>
      <c r="L4" s="89"/>
      <c r="M4" s="89"/>
      <c r="N4" s="89"/>
      <c r="O4" s="89"/>
      <c r="P4" s="89"/>
      <c r="Q4" s="89"/>
      <c r="R4" s="89"/>
      <c r="S4" s="89"/>
      <c r="T4" s="89"/>
      <c r="U4" s="89"/>
      <c r="V4" s="89"/>
      <c r="W4" s="89"/>
      <c r="X4" s="89"/>
      <c r="Y4" s="89"/>
      <c r="Z4" s="89"/>
      <c r="AA4" s="89"/>
      <c r="AB4" s="89"/>
      <c r="AC4" s="89"/>
      <c r="AD4" s="90"/>
      <c r="AF4" s="31"/>
    </row>
    <row r="5" spans="1:32" ht="21" customHeight="1" thickBot="1" x14ac:dyDescent="0.25">
      <c r="A5" s="63" t="s">
        <v>0</v>
      </c>
      <c r="B5" s="64"/>
      <c r="C5" s="64"/>
      <c r="D5" s="64"/>
      <c r="E5" s="64"/>
      <c r="F5" s="64"/>
      <c r="G5" s="64"/>
      <c r="H5" s="64"/>
      <c r="I5" s="64"/>
      <c r="J5" s="64"/>
      <c r="K5" s="64"/>
      <c r="L5" s="64"/>
      <c r="M5" s="64"/>
      <c r="N5" s="64"/>
      <c r="O5" s="64"/>
      <c r="P5" s="64"/>
      <c r="Q5" s="64"/>
      <c r="R5" s="64"/>
      <c r="S5" s="64"/>
      <c r="T5" s="64"/>
      <c r="U5" s="64"/>
      <c r="V5" s="64"/>
      <c r="W5" s="64"/>
      <c r="X5" s="64"/>
      <c r="Y5" s="64"/>
      <c r="Z5" s="64"/>
      <c r="AA5" s="64"/>
      <c r="AB5" s="64"/>
      <c r="AC5" s="64"/>
      <c r="AD5" s="65"/>
    </row>
    <row r="6" spans="1:32" ht="85.5" customHeight="1" thickBot="1" x14ac:dyDescent="0.25">
      <c r="A6" s="91" t="s">
        <v>72</v>
      </c>
      <c r="B6" s="92"/>
      <c r="C6" s="92"/>
      <c r="D6" s="92"/>
      <c r="E6" s="92"/>
      <c r="F6" s="92"/>
      <c r="G6" s="92"/>
      <c r="H6" s="92"/>
      <c r="I6" s="92"/>
      <c r="J6" s="92"/>
      <c r="K6" s="92"/>
      <c r="L6" s="92"/>
      <c r="M6" s="92"/>
      <c r="N6" s="92"/>
      <c r="O6" s="92"/>
      <c r="P6" s="92"/>
      <c r="Q6" s="92"/>
      <c r="R6" s="92"/>
      <c r="S6" s="92"/>
      <c r="T6" s="92"/>
      <c r="U6" s="92"/>
      <c r="V6" s="92"/>
      <c r="W6" s="92"/>
      <c r="X6" s="92"/>
      <c r="Y6" s="92"/>
      <c r="Z6" s="92"/>
      <c r="AA6" s="92"/>
      <c r="AB6" s="92"/>
      <c r="AC6" s="92"/>
      <c r="AD6" s="93"/>
    </row>
    <row r="7" spans="1:32" ht="24" customHeight="1" thickBot="1" x14ac:dyDescent="0.25">
      <c r="A7" s="63" t="s">
        <v>5</v>
      </c>
      <c r="B7" s="64"/>
      <c r="C7" s="64"/>
      <c r="D7" s="64"/>
      <c r="E7" s="64"/>
      <c r="F7" s="65"/>
      <c r="G7" s="63" t="s">
        <v>1</v>
      </c>
      <c r="H7" s="64"/>
      <c r="I7" s="64"/>
      <c r="J7" s="64"/>
      <c r="K7" s="64"/>
      <c r="L7" s="64"/>
      <c r="M7" s="64"/>
      <c r="N7" s="64"/>
      <c r="O7" s="64"/>
      <c r="P7" s="64"/>
      <c r="Q7" s="64"/>
      <c r="R7" s="64"/>
      <c r="S7" s="64"/>
      <c r="T7" s="64"/>
      <c r="U7" s="64"/>
      <c r="V7" s="64"/>
      <c r="W7" s="64"/>
      <c r="X7" s="65"/>
      <c r="Y7" s="63" t="s">
        <v>52</v>
      </c>
      <c r="Z7" s="64"/>
      <c r="AA7" s="64"/>
      <c r="AB7" s="64"/>
      <c r="AC7" s="64"/>
      <c r="AD7" s="65"/>
    </row>
    <row r="8" spans="1:32" ht="56.25" customHeight="1" thickBot="1" x14ac:dyDescent="0.25">
      <c r="A8" s="66" t="s">
        <v>41</v>
      </c>
      <c r="B8" s="67"/>
      <c r="C8" s="67"/>
      <c r="D8" s="67"/>
      <c r="E8" s="67"/>
      <c r="F8" s="68"/>
      <c r="G8" s="66" t="s">
        <v>6</v>
      </c>
      <c r="H8" s="67"/>
      <c r="I8" s="67"/>
      <c r="J8" s="67"/>
      <c r="K8" s="67"/>
      <c r="L8" s="67"/>
      <c r="M8" s="67"/>
      <c r="N8" s="67"/>
      <c r="O8" s="67"/>
      <c r="P8" s="67"/>
      <c r="Q8" s="67"/>
      <c r="R8" s="67"/>
      <c r="S8" s="67"/>
      <c r="T8" s="67"/>
      <c r="U8" s="67"/>
      <c r="V8" s="67"/>
      <c r="W8" s="67"/>
      <c r="X8" s="68"/>
      <c r="Y8" s="119" t="s">
        <v>100</v>
      </c>
      <c r="Z8" s="120"/>
      <c r="AA8" s="120"/>
      <c r="AB8" s="120"/>
      <c r="AC8" s="120"/>
      <c r="AD8" s="121"/>
    </row>
    <row r="9" spans="1:32" s="2" customFormat="1" ht="24" customHeight="1" thickBot="1" x14ac:dyDescent="0.25">
      <c r="A9" s="108"/>
      <c r="B9" s="109"/>
      <c r="C9" s="109"/>
      <c r="D9" s="109"/>
      <c r="E9" s="109"/>
      <c r="F9" s="109"/>
      <c r="G9" s="110"/>
      <c r="H9" s="110"/>
      <c r="I9" s="110"/>
      <c r="J9" s="110"/>
      <c r="K9" s="110"/>
      <c r="L9" s="110"/>
      <c r="M9" s="110"/>
      <c r="N9" s="110"/>
      <c r="O9" s="110"/>
      <c r="P9" s="110"/>
      <c r="Q9" s="110"/>
      <c r="R9" s="110"/>
      <c r="S9" s="110"/>
      <c r="T9" s="110"/>
      <c r="U9" s="110"/>
      <c r="V9" s="110"/>
      <c r="W9" s="110"/>
      <c r="X9" s="110"/>
      <c r="Y9" s="110"/>
      <c r="Z9" s="110"/>
      <c r="AA9" s="110"/>
      <c r="AB9" s="110"/>
      <c r="AC9" s="110"/>
      <c r="AD9" s="111"/>
    </row>
    <row r="10" spans="1:32" ht="18" customHeight="1" x14ac:dyDescent="0.2">
      <c r="A10" s="112" t="s">
        <v>37</v>
      </c>
      <c r="B10" s="116" t="s">
        <v>38</v>
      </c>
      <c r="C10" s="98" t="s">
        <v>53</v>
      </c>
      <c r="D10" s="98"/>
      <c r="E10" s="98"/>
      <c r="F10" s="98"/>
      <c r="G10" s="98"/>
      <c r="H10" s="98"/>
      <c r="I10" s="98"/>
      <c r="J10" s="98"/>
      <c r="K10" s="98"/>
      <c r="L10" s="98"/>
      <c r="M10" s="98"/>
      <c r="N10" s="98"/>
      <c r="O10" s="98"/>
      <c r="P10" s="98"/>
      <c r="Q10" s="98"/>
      <c r="R10" s="98"/>
      <c r="S10" s="98"/>
      <c r="T10" s="98"/>
      <c r="U10" s="98"/>
      <c r="V10" s="98"/>
      <c r="W10" s="98"/>
      <c r="X10" s="98"/>
      <c r="Y10" s="98"/>
      <c r="Z10" s="98"/>
      <c r="AA10" s="98" t="s">
        <v>8</v>
      </c>
      <c r="AB10" s="98" t="s">
        <v>30</v>
      </c>
      <c r="AC10" s="98"/>
      <c r="AD10" s="101" t="s">
        <v>9</v>
      </c>
    </row>
    <row r="11" spans="1:32" ht="37.5" customHeight="1" x14ac:dyDescent="0.2">
      <c r="A11" s="113"/>
      <c r="B11" s="117"/>
      <c r="C11" s="96" t="s">
        <v>17</v>
      </c>
      <c r="D11" s="97"/>
      <c r="E11" s="96" t="s">
        <v>18</v>
      </c>
      <c r="F11" s="97"/>
      <c r="G11" s="96" t="s">
        <v>19</v>
      </c>
      <c r="H11" s="97"/>
      <c r="I11" s="96" t="s">
        <v>20</v>
      </c>
      <c r="J11" s="97"/>
      <c r="K11" s="96" t="s">
        <v>21</v>
      </c>
      <c r="L11" s="97"/>
      <c r="M11" s="96" t="s">
        <v>22</v>
      </c>
      <c r="N11" s="97"/>
      <c r="O11" s="96" t="s">
        <v>12</v>
      </c>
      <c r="P11" s="97"/>
      <c r="Q11" s="96" t="s">
        <v>13</v>
      </c>
      <c r="R11" s="97"/>
      <c r="S11" s="96" t="s">
        <v>14</v>
      </c>
      <c r="T11" s="97"/>
      <c r="U11" s="96" t="s">
        <v>15</v>
      </c>
      <c r="V11" s="97"/>
      <c r="W11" s="96" t="s">
        <v>16</v>
      </c>
      <c r="X11" s="97"/>
      <c r="Y11" s="96" t="s">
        <v>23</v>
      </c>
      <c r="Z11" s="97"/>
      <c r="AA11" s="99"/>
      <c r="AB11" s="79" t="s">
        <v>34</v>
      </c>
      <c r="AC11" s="79" t="s">
        <v>31</v>
      </c>
      <c r="AD11" s="102"/>
    </row>
    <row r="12" spans="1:32" ht="30" customHeight="1" x14ac:dyDescent="0.2">
      <c r="A12" s="114"/>
      <c r="B12" s="118"/>
      <c r="C12" s="7" t="s">
        <v>2</v>
      </c>
      <c r="D12" s="12" t="s">
        <v>3</v>
      </c>
      <c r="E12" s="7" t="s">
        <v>2</v>
      </c>
      <c r="F12" s="12" t="s">
        <v>3</v>
      </c>
      <c r="G12" s="7" t="s">
        <v>2</v>
      </c>
      <c r="H12" s="12" t="s">
        <v>3</v>
      </c>
      <c r="I12" s="7" t="s">
        <v>2</v>
      </c>
      <c r="J12" s="12" t="s">
        <v>3</v>
      </c>
      <c r="K12" s="7" t="s">
        <v>2</v>
      </c>
      <c r="L12" s="12" t="s">
        <v>3</v>
      </c>
      <c r="M12" s="7" t="s">
        <v>2</v>
      </c>
      <c r="N12" s="12" t="s">
        <v>3</v>
      </c>
      <c r="O12" s="7" t="s">
        <v>2</v>
      </c>
      <c r="P12" s="12" t="s">
        <v>3</v>
      </c>
      <c r="Q12" s="7" t="s">
        <v>2</v>
      </c>
      <c r="R12" s="12" t="s">
        <v>3</v>
      </c>
      <c r="S12" s="7" t="s">
        <v>2</v>
      </c>
      <c r="T12" s="12" t="s">
        <v>3</v>
      </c>
      <c r="U12" s="7" t="s">
        <v>2</v>
      </c>
      <c r="V12" s="12" t="s">
        <v>3</v>
      </c>
      <c r="W12" s="7" t="s">
        <v>2</v>
      </c>
      <c r="X12" s="12" t="s">
        <v>3</v>
      </c>
      <c r="Y12" s="7" t="s">
        <v>2</v>
      </c>
      <c r="Z12" s="12" t="s">
        <v>3</v>
      </c>
      <c r="AA12" s="99"/>
      <c r="AB12" s="79"/>
      <c r="AC12" s="79"/>
      <c r="AD12" s="102"/>
    </row>
    <row r="13" spans="1:32" ht="51.75" customHeight="1" x14ac:dyDescent="0.2">
      <c r="A13" s="122" t="s">
        <v>33</v>
      </c>
      <c r="B13" s="27" t="s">
        <v>101</v>
      </c>
      <c r="C13" s="19">
        <v>1</v>
      </c>
      <c r="D13" s="19">
        <v>1</v>
      </c>
      <c r="E13" s="19"/>
      <c r="F13" s="19"/>
      <c r="G13" s="19"/>
      <c r="H13" s="19"/>
      <c r="I13" s="19"/>
      <c r="J13" s="19"/>
      <c r="K13" s="19"/>
      <c r="L13" s="19"/>
      <c r="M13" s="19"/>
      <c r="N13" s="19"/>
      <c r="O13" s="19"/>
      <c r="P13" s="19"/>
      <c r="Q13" s="19"/>
      <c r="R13" s="19"/>
      <c r="S13" s="19"/>
      <c r="T13" s="19"/>
      <c r="U13" s="19"/>
      <c r="V13" s="19"/>
      <c r="W13" s="19"/>
      <c r="X13" s="19"/>
      <c r="Y13" s="19"/>
      <c r="Z13" s="19"/>
      <c r="AA13" s="20" t="s">
        <v>93</v>
      </c>
      <c r="AB13" s="6" t="s">
        <v>29</v>
      </c>
      <c r="AC13" s="6"/>
      <c r="AD13" s="8"/>
    </row>
    <row r="14" spans="1:32" ht="78.75" customHeight="1" x14ac:dyDescent="0.2">
      <c r="A14" s="123"/>
      <c r="B14" s="21" t="s">
        <v>73</v>
      </c>
      <c r="C14" s="22"/>
      <c r="D14" s="22"/>
      <c r="E14" s="22"/>
      <c r="F14" s="22"/>
      <c r="G14" s="22">
        <v>1</v>
      </c>
      <c r="H14" s="22">
        <v>1</v>
      </c>
      <c r="I14" s="22"/>
      <c r="J14" s="22"/>
      <c r="K14" s="22"/>
      <c r="L14" s="22"/>
      <c r="M14" s="22"/>
      <c r="N14" s="22"/>
      <c r="O14" s="22"/>
      <c r="P14" s="22"/>
      <c r="Q14" s="22"/>
      <c r="R14" s="22"/>
      <c r="S14" s="22"/>
      <c r="T14" s="22"/>
      <c r="U14" s="22"/>
      <c r="V14" s="22"/>
      <c r="W14" s="22"/>
      <c r="X14" s="22"/>
      <c r="Y14" s="22"/>
      <c r="Z14" s="22"/>
      <c r="AA14" s="23" t="s">
        <v>94</v>
      </c>
      <c r="AB14" s="6" t="s">
        <v>29</v>
      </c>
      <c r="AC14" s="6"/>
      <c r="AD14" s="33" t="s">
        <v>114</v>
      </c>
      <c r="AE14" s="16"/>
    </row>
    <row r="15" spans="1:32" ht="82.5" customHeight="1" x14ac:dyDescent="0.2">
      <c r="A15" s="123"/>
      <c r="B15" s="21" t="s">
        <v>113</v>
      </c>
      <c r="C15" s="22"/>
      <c r="D15" s="22"/>
      <c r="E15" s="22">
        <v>1</v>
      </c>
      <c r="F15" s="22">
        <v>1</v>
      </c>
      <c r="G15" s="22"/>
      <c r="H15" s="22"/>
      <c r="I15" s="22"/>
      <c r="J15" s="22"/>
      <c r="K15" s="22"/>
      <c r="L15" s="22"/>
      <c r="M15" s="22"/>
      <c r="N15" s="22"/>
      <c r="O15" s="22"/>
      <c r="P15" s="22"/>
      <c r="Q15" s="22"/>
      <c r="R15" s="22"/>
      <c r="S15" s="22"/>
      <c r="T15" s="22"/>
      <c r="U15" s="22"/>
      <c r="V15" s="22"/>
      <c r="W15" s="22"/>
      <c r="X15" s="22"/>
      <c r="Y15" s="22"/>
      <c r="Z15" s="22"/>
      <c r="AA15" s="23" t="s">
        <v>95</v>
      </c>
      <c r="AB15" s="6" t="s">
        <v>29</v>
      </c>
      <c r="AC15" s="6" t="s">
        <v>29</v>
      </c>
      <c r="AD15" s="9"/>
    </row>
    <row r="16" spans="1:32" ht="54.75" customHeight="1" x14ac:dyDescent="0.2">
      <c r="A16" s="123"/>
      <c r="B16" s="21" t="s">
        <v>91</v>
      </c>
      <c r="C16" s="22">
        <v>1</v>
      </c>
      <c r="D16" s="22">
        <v>1</v>
      </c>
      <c r="E16" s="22"/>
      <c r="F16" s="22"/>
      <c r="G16" s="22"/>
      <c r="H16" s="22"/>
      <c r="I16" s="22"/>
      <c r="J16" s="22"/>
      <c r="K16" s="22"/>
      <c r="L16" s="22"/>
      <c r="M16" s="22"/>
      <c r="N16" s="22"/>
      <c r="O16" s="22"/>
      <c r="P16" s="22"/>
      <c r="Q16" s="22"/>
      <c r="R16" s="22"/>
      <c r="S16" s="22"/>
      <c r="T16" s="22"/>
      <c r="U16" s="22"/>
      <c r="V16" s="22"/>
      <c r="W16" s="22"/>
      <c r="X16" s="22"/>
      <c r="Y16" s="22"/>
      <c r="Z16" s="22"/>
      <c r="AA16" s="23" t="s">
        <v>50</v>
      </c>
      <c r="AB16" s="6" t="s">
        <v>29</v>
      </c>
      <c r="AC16" s="6"/>
      <c r="AD16" s="8" t="s">
        <v>98</v>
      </c>
    </row>
    <row r="17" spans="1:30" ht="51" customHeight="1" x14ac:dyDescent="0.2">
      <c r="A17" s="123"/>
      <c r="B17" s="21" t="s">
        <v>81</v>
      </c>
      <c r="C17" s="22"/>
      <c r="D17" s="22"/>
      <c r="E17" s="22">
        <v>1</v>
      </c>
      <c r="F17" s="22">
        <v>1</v>
      </c>
      <c r="G17" s="22"/>
      <c r="H17" s="22"/>
      <c r="I17" s="22"/>
      <c r="J17" s="22"/>
      <c r="K17" s="22"/>
      <c r="L17" s="22"/>
      <c r="M17" s="22"/>
      <c r="N17" s="22"/>
      <c r="O17" s="22"/>
      <c r="P17" s="22"/>
      <c r="Q17" s="22"/>
      <c r="R17" s="22"/>
      <c r="S17" s="22"/>
      <c r="T17" s="22"/>
      <c r="U17" s="22"/>
      <c r="V17" s="22"/>
      <c r="W17" s="22"/>
      <c r="X17" s="22"/>
      <c r="Y17" s="22"/>
      <c r="Z17" s="22"/>
      <c r="AA17" s="23" t="s">
        <v>50</v>
      </c>
      <c r="AB17" s="6" t="s">
        <v>29</v>
      </c>
      <c r="AC17" s="6"/>
      <c r="AD17" s="8" t="s">
        <v>99</v>
      </c>
    </row>
    <row r="18" spans="1:30" ht="51" customHeight="1" x14ac:dyDescent="0.2">
      <c r="A18" s="123"/>
      <c r="B18" s="21" t="s">
        <v>104</v>
      </c>
      <c r="C18" s="22">
        <v>1</v>
      </c>
      <c r="D18" s="22">
        <v>1</v>
      </c>
      <c r="E18" s="22"/>
      <c r="F18" s="22"/>
      <c r="G18" s="22"/>
      <c r="H18" s="22"/>
      <c r="I18" s="22"/>
      <c r="J18" s="22"/>
      <c r="K18" s="22"/>
      <c r="L18" s="22"/>
      <c r="M18" s="22"/>
      <c r="N18" s="22"/>
      <c r="O18" s="22"/>
      <c r="P18" s="22"/>
      <c r="Q18" s="22"/>
      <c r="R18" s="22"/>
      <c r="S18" s="22"/>
      <c r="T18" s="22"/>
      <c r="U18" s="22"/>
      <c r="V18" s="22"/>
      <c r="W18" s="22"/>
      <c r="X18" s="22"/>
      <c r="Y18" s="22"/>
      <c r="Z18" s="22"/>
      <c r="AA18" s="23" t="s">
        <v>50</v>
      </c>
      <c r="AB18" s="6" t="s">
        <v>29</v>
      </c>
      <c r="AC18" s="6"/>
      <c r="AD18" s="10" t="s">
        <v>76</v>
      </c>
    </row>
    <row r="19" spans="1:30" ht="51" customHeight="1" x14ac:dyDescent="0.2">
      <c r="A19" s="123"/>
      <c r="B19" s="21" t="s">
        <v>106</v>
      </c>
      <c r="C19" s="22"/>
      <c r="D19" s="22"/>
      <c r="E19" s="22"/>
      <c r="F19" s="22"/>
      <c r="G19" s="22"/>
      <c r="H19" s="22"/>
      <c r="I19" s="22"/>
      <c r="J19" s="22"/>
      <c r="K19" s="22"/>
      <c r="L19" s="22"/>
      <c r="M19" s="22">
        <v>1</v>
      </c>
      <c r="N19" s="22"/>
      <c r="O19" s="22"/>
      <c r="P19" s="22"/>
      <c r="Q19" s="22"/>
      <c r="R19" s="22"/>
      <c r="S19" s="22"/>
      <c r="T19" s="22"/>
      <c r="U19" s="22"/>
      <c r="V19" s="22"/>
      <c r="W19" s="22"/>
      <c r="X19" s="22"/>
      <c r="Y19" s="22"/>
      <c r="Z19" s="22"/>
      <c r="AA19" s="23" t="s">
        <v>95</v>
      </c>
      <c r="AB19" s="6" t="s">
        <v>29</v>
      </c>
      <c r="AC19" s="6"/>
      <c r="AD19" s="10"/>
    </row>
    <row r="20" spans="1:30" ht="48.75" customHeight="1" x14ac:dyDescent="0.2">
      <c r="A20" s="123"/>
      <c r="B20" s="21" t="s">
        <v>75</v>
      </c>
      <c r="C20" s="22"/>
      <c r="D20" s="22"/>
      <c r="E20" s="22"/>
      <c r="F20" s="22"/>
      <c r="G20" s="22"/>
      <c r="H20" s="22"/>
      <c r="I20" s="22"/>
      <c r="J20" s="22"/>
      <c r="K20" s="22">
        <v>1</v>
      </c>
      <c r="L20" s="22">
        <v>1</v>
      </c>
      <c r="M20" s="22"/>
      <c r="N20" s="22"/>
      <c r="O20" s="22"/>
      <c r="P20" s="22"/>
      <c r="Q20" s="22"/>
      <c r="R20" s="22"/>
      <c r="S20" s="22"/>
      <c r="T20" s="22"/>
      <c r="U20" s="22"/>
      <c r="V20" s="22"/>
      <c r="W20" s="22"/>
      <c r="X20" s="22"/>
      <c r="Y20" s="22"/>
      <c r="Z20" s="22"/>
      <c r="AA20" s="23" t="s">
        <v>50</v>
      </c>
      <c r="AB20" s="6" t="s">
        <v>29</v>
      </c>
      <c r="AC20" s="6"/>
      <c r="AD20" s="9"/>
    </row>
    <row r="21" spans="1:30" ht="62.25" customHeight="1" x14ac:dyDescent="0.2">
      <c r="A21" s="123"/>
      <c r="B21" s="21" t="s">
        <v>74</v>
      </c>
      <c r="C21" s="22"/>
      <c r="D21" s="22"/>
      <c r="E21" s="22"/>
      <c r="F21" s="22"/>
      <c r="G21" s="22"/>
      <c r="H21" s="22"/>
      <c r="I21" s="22"/>
      <c r="J21" s="22"/>
      <c r="K21" s="22">
        <v>1</v>
      </c>
      <c r="L21" s="22">
        <v>1</v>
      </c>
      <c r="M21" s="22"/>
      <c r="N21" s="22"/>
      <c r="O21" s="22"/>
      <c r="P21" s="22"/>
      <c r="Q21" s="22"/>
      <c r="R21" s="22"/>
      <c r="S21" s="22"/>
      <c r="T21" s="22"/>
      <c r="U21" s="22"/>
      <c r="V21" s="22"/>
      <c r="W21" s="22"/>
      <c r="X21" s="22"/>
      <c r="Y21" s="22"/>
      <c r="Z21" s="22"/>
      <c r="AA21" s="23" t="s">
        <v>50</v>
      </c>
      <c r="AB21" s="6" t="s">
        <v>29</v>
      </c>
      <c r="AC21" s="6"/>
      <c r="AD21" s="9"/>
    </row>
    <row r="22" spans="1:30" ht="45" customHeight="1" x14ac:dyDescent="0.2">
      <c r="A22" s="123"/>
      <c r="B22" s="21" t="s">
        <v>42</v>
      </c>
      <c r="C22" s="22"/>
      <c r="D22" s="22"/>
      <c r="E22" s="22"/>
      <c r="F22" s="22"/>
      <c r="G22" s="22"/>
      <c r="H22" s="22"/>
      <c r="I22" s="22"/>
      <c r="J22" s="22"/>
      <c r="K22" s="22"/>
      <c r="L22" s="22"/>
      <c r="M22" s="22"/>
      <c r="N22" s="22"/>
      <c r="O22" s="22"/>
      <c r="P22" s="22"/>
      <c r="Q22" s="22"/>
      <c r="R22" s="22"/>
      <c r="S22" s="22"/>
      <c r="T22" s="22"/>
      <c r="U22" s="22"/>
      <c r="V22" s="22"/>
      <c r="W22" s="22"/>
      <c r="X22" s="22"/>
      <c r="Y22" s="22">
        <v>1</v>
      </c>
      <c r="Z22" s="22"/>
      <c r="AA22" s="23" t="s">
        <v>51</v>
      </c>
      <c r="AB22" s="6" t="s">
        <v>29</v>
      </c>
      <c r="AC22" s="6"/>
      <c r="AD22" s="9"/>
    </row>
    <row r="23" spans="1:30" ht="72.75" customHeight="1" x14ac:dyDescent="0.2">
      <c r="A23" s="123"/>
      <c r="B23" s="21" t="s">
        <v>54</v>
      </c>
      <c r="C23" s="22"/>
      <c r="D23" s="22"/>
      <c r="E23" s="22"/>
      <c r="F23" s="22"/>
      <c r="G23" s="22"/>
      <c r="H23" s="22"/>
      <c r="I23" s="22"/>
      <c r="J23" s="22"/>
      <c r="K23" s="22"/>
      <c r="L23" s="22"/>
      <c r="M23" s="22"/>
      <c r="N23" s="22"/>
      <c r="O23" s="22"/>
      <c r="P23" s="22"/>
      <c r="Q23" s="22">
        <v>1</v>
      </c>
      <c r="R23" s="22">
        <v>1</v>
      </c>
      <c r="S23" s="22"/>
      <c r="T23" s="22"/>
      <c r="U23" s="22"/>
      <c r="V23" s="22"/>
      <c r="W23" s="22"/>
      <c r="X23" s="22"/>
      <c r="Y23" s="22"/>
      <c r="Z23" s="22"/>
      <c r="AA23" s="23" t="s">
        <v>96</v>
      </c>
      <c r="AB23" s="6" t="s">
        <v>29</v>
      </c>
      <c r="AC23" s="6"/>
      <c r="AD23" s="9"/>
    </row>
    <row r="24" spans="1:30" ht="72.75" customHeight="1" x14ac:dyDescent="0.2">
      <c r="A24" s="123"/>
      <c r="B24" s="21" t="s">
        <v>107</v>
      </c>
      <c r="C24" s="22"/>
      <c r="D24" s="22"/>
      <c r="E24" s="22"/>
      <c r="F24" s="22"/>
      <c r="G24" s="22"/>
      <c r="H24" s="22"/>
      <c r="I24" s="22"/>
      <c r="J24" s="22"/>
      <c r="K24" s="22"/>
      <c r="L24" s="22"/>
      <c r="M24" s="22">
        <v>1</v>
      </c>
      <c r="N24" s="22">
        <v>1</v>
      </c>
      <c r="O24" s="22"/>
      <c r="P24" s="22"/>
      <c r="Q24" s="22"/>
      <c r="R24" s="22"/>
      <c r="S24" s="22"/>
      <c r="T24" s="22"/>
      <c r="U24" s="22"/>
      <c r="V24" s="22"/>
      <c r="W24" s="22"/>
      <c r="X24" s="22"/>
      <c r="Y24" s="22"/>
      <c r="Z24" s="22"/>
      <c r="AA24" s="23" t="s">
        <v>51</v>
      </c>
      <c r="AB24" s="6" t="s">
        <v>112</v>
      </c>
      <c r="AC24" s="6"/>
      <c r="AD24" s="9"/>
    </row>
    <row r="25" spans="1:30" ht="72.75" customHeight="1" x14ac:dyDescent="0.2">
      <c r="A25" s="123"/>
      <c r="B25" s="21" t="s">
        <v>108</v>
      </c>
      <c r="C25" s="22"/>
      <c r="D25" s="22"/>
      <c r="E25" s="22"/>
      <c r="F25" s="22"/>
      <c r="G25" s="22"/>
      <c r="H25" s="22"/>
      <c r="I25" s="22"/>
      <c r="J25" s="22"/>
      <c r="K25" s="22"/>
      <c r="L25" s="22"/>
      <c r="M25" s="22">
        <v>1</v>
      </c>
      <c r="N25" s="22">
        <v>1</v>
      </c>
      <c r="O25" s="22"/>
      <c r="P25" s="22"/>
      <c r="Q25" s="22"/>
      <c r="R25" s="22"/>
      <c r="S25" s="22"/>
      <c r="T25" s="22"/>
      <c r="U25" s="22"/>
      <c r="V25" s="22"/>
      <c r="W25" s="22"/>
      <c r="X25" s="22"/>
      <c r="Y25" s="22"/>
      <c r="Z25" s="22"/>
      <c r="AA25" s="23" t="s">
        <v>40</v>
      </c>
      <c r="AB25" s="6" t="s">
        <v>29</v>
      </c>
      <c r="AC25" s="6"/>
      <c r="AD25" s="9"/>
    </row>
    <row r="26" spans="1:30" ht="46.5" customHeight="1" x14ac:dyDescent="0.2">
      <c r="A26" s="123"/>
      <c r="B26" s="21" t="s">
        <v>55</v>
      </c>
      <c r="C26" s="22"/>
      <c r="D26" s="22"/>
      <c r="E26" s="22"/>
      <c r="F26" s="22"/>
      <c r="G26" s="22"/>
      <c r="H26" s="22"/>
      <c r="I26" s="22">
        <v>1</v>
      </c>
      <c r="J26" s="22">
        <v>1</v>
      </c>
      <c r="K26" s="22"/>
      <c r="L26" s="22"/>
      <c r="M26" s="22"/>
      <c r="N26" s="22"/>
      <c r="O26" s="22"/>
      <c r="P26" s="22"/>
      <c r="Q26" s="22"/>
      <c r="R26" s="22"/>
      <c r="S26" s="22"/>
      <c r="T26" s="22"/>
      <c r="U26" s="22">
        <v>1</v>
      </c>
      <c r="V26" s="22"/>
      <c r="W26" s="22"/>
      <c r="X26" s="22"/>
      <c r="Y26" s="22"/>
      <c r="Z26" s="22"/>
      <c r="AA26" s="23" t="s">
        <v>93</v>
      </c>
      <c r="AB26" s="6" t="s">
        <v>29</v>
      </c>
      <c r="AC26" s="6"/>
      <c r="AD26" s="9"/>
    </row>
    <row r="27" spans="1:30" ht="46.5" customHeight="1" x14ac:dyDescent="0.2">
      <c r="A27" s="123"/>
      <c r="B27" s="21" t="s">
        <v>77</v>
      </c>
      <c r="C27" s="22"/>
      <c r="D27" s="22"/>
      <c r="E27" s="22"/>
      <c r="F27" s="22"/>
      <c r="G27" s="22"/>
      <c r="H27" s="22"/>
      <c r="I27" s="22"/>
      <c r="J27" s="22"/>
      <c r="K27" s="22"/>
      <c r="L27" s="22"/>
      <c r="M27" s="22"/>
      <c r="N27" s="22"/>
      <c r="O27" s="22"/>
      <c r="P27" s="22"/>
      <c r="Q27" s="22"/>
      <c r="R27" s="22"/>
      <c r="S27" s="22"/>
      <c r="T27" s="22"/>
      <c r="U27" s="22"/>
      <c r="V27" s="22"/>
      <c r="W27" s="22">
        <v>1</v>
      </c>
      <c r="X27" s="22"/>
      <c r="Y27" s="22"/>
      <c r="Z27" s="22"/>
      <c r="AA27" s="23" t="s">
        <v>93</v>
      </c>
      <c r="AB27" s="6" t="s">
        <v>29</v>
      </c>
      <c r="AC27" s="6"/>
      <c r="AD27" s="9"/>
    </row>
    <row r="28" spans="1:30" ht="68.25" customHeight="1" x14ac:dyDescent="0.2">
      <c r="A28" s="115" t="s">
        <v>27</v>
      </c>
      <c r="B28" s="21" t="s">
        <v>56</v>
      </c>
      <c r="C28" s="22"/>
      <c r="D28" s="22"/>
      <c r="E28" s="22"/>
      <c r="F28" s="22"/>
      <c r="G28" s="22"/>
      <c r="H28" s="22"/>
      <c r="I28" s="22"/>
      <c r="J28" s="22"/>
      <c r="K28" s="22"/>
      <c r="L28" s="22"/>
      <c r="M28" s="22">
        <v>1</v>
      </c>
      <c r="N28" s="22">
        <v>1</v>
      </c>
      <c r="O28" s="22"/>
      <c r="P28" s="22"/>
      <c r="Q28" s="22"/>
      <c r="R28" s="22"/>
      <c r="S28" s="22"/>
      <c r="T28" s="22"/>
      <c r="U28" s="22"/>
      <c r="V28" s="22"/>
      <c r="W28" s="22"/>
      <c r="X28" s="22"/>
      <c r="Y28" s="22"/>
      <c r="Z28" s="22"/>
      <c r="AA28" s="23" t="s">
        <v>97</v>
      </c>
      <c r="AB28" s="6" t="s">
        <v>29</v>
      </c>
      <c r="AC28" s="6" t="s">
        <v>29</v>
      </c>
      <c r="AD28" s="9"/>
    </row>
    <row r="29" spans="1:30" ht="68.25" customHeight="1" x14ac:dyDescent="0.2">
      <c r="A29" s="115"/>
      <c r="B29" s="21" t="s">
        <v>109</v>
      </c>
      <c r="C29" s="22"/>
      <c r="D29" s="22"/>
      <c r="E29" s="22"/>
      <c r="F29" s="22"/>
      <c r="G29" s="22">
        <v>1</v>
      </c>
      <c r="H29" s="22"/>
      <c r="I29" s="22"/>
      <c r="J29" s="22"/>
      <c r="K29" s="22"/>
      <c r="L29" s="22"/>
      <c r="M29" s="22"/>
      <c r="N29" s="22"/>
      <c r="O29" s="22"/>
      <c r="P29" s="22"/>
      <c r="Q29" s="22"/>
      <c r="R29" s="22"/>
      <c r="S29" s="22"/>
      <c r="T29" s="22"/>
      <c r="U29" s="22"/>
      <c r="V29" s="22"/>
      <c r="W29" s="22"/>
      <c r="X29" s="22"/>
      <c r="Y29" s="22"/>
      <c r="Z29" s="22"/>
      <c r="AA29" s="23" t="s">
        <v>97</v>
      </c>
      <c r="AB29" s="6" t="s">
        <v>29</v>
      </c>
      <c r="AC29" s="6" t="s">
        <v>29</v>
      </c>
      <c r="AD29" s="9"/>
    </row>
    <row r="30" spans="1:30" ht="68.25" customHeight="1" x14ac:dyDescent="0.2">
      <c r="A30" s="115"/>
      <c r="B30" s="21" t="s">
        <v>105</v>
      </c>
      <c r="C30" s="22"/>
      <c r="D30" s="22"/>
      <c r="E30" s="22"/>
      <c r="F30" s="22"/>
      <c r="G30" s="22"/>
      <c r="H30" s="22"/>
      <c r="I30" s="22"/>
      <c r="J30" s="22"/>
      <c r="K30" s="22"/>
      <c r="L30" s="22"/>
      <c r="M30" s="22">
        <v>1</v>
      </c>
      <c r="N30" s="22">
        <v>1</v>
      </c>
      <c r="O30" s="22"/>
      <c r="P30" s="22"/>
      <c r="Q30" s="22"/>
      <c r="R30" s="22"/>
      <c r="S30" s="22"/>
      <c r="T30" s="22"/>
      <c r="U30" s="22"/>
      <c r="V30" s="22"/>
      <c r="W30" s="22"/>
      <c r="X30" s="22"/>
      <c r="Y30" s="22"/>
      <c r="Z30" s="22"/>
      <c r="AA30" s="23" t="s">
        <v>111</v>
      </c>
      <c r="AB30" s="6" t="s">
        <v>29</v>
      </c>
      <c r="AC30" s="6"/>
      <c r="AD30" s="9"/>
    </row>
    <row r="31" spans="1:30" ht="68.25" customHeight="1" x14ac:dyDescent="0.2">
      <c r="A31" s="115"/>
      <c r="B31" s="21" t="s">
        <v>110</v>
      </c>
      <c r="C31" s="22"/>
      <c r="D31" s="22"/>
      <c r="E31" s="22"/>
      <c r="F31" s="22"/>
      <c r="G31" s="22"/>
      <c r="H31" s="22"/>
      <c r="I31" s="22"/>
      <c r="J31" s="22"/>
      <c r="K31" s="22"/>
      <c r="L31" s="22"/>
      <c r="M31" s="22">
        <v>1</v>
      </c>
      <c r="N31" s="22"/>
      <c r="O31" s="22"/>
      <c r="P31" s="22"/>
      <c r="Q31" s="22"/>
      <c r="R31" s="22"/>
      <c r="S31" s="22"/>
      <c r="T31" s="22"/>
      <c r="U31" s="22"/>
      <c r="V31" s="22"/>
      <c r="W31" s="22"/>
      <c r="X31" s="22"/>
      <c r="Y31" s="22"/>
      <c r="Z31" s="22"/>
      <c r="AA31" s="23" t="s">
        <v>40</v>
      </c>
      <c r="AB31" s="6" t="s">
        <v>29</v>
      </c>
      <c r="AC31" s="6" t="s">
        <v>29</v>
      </c>
      <c r="AD31" s="9"/>
    </row>
    <row r="32" spans="1:30" ht="68.25" customHeight="1" x14ac:dyDescent="0.2">
      <c r="A32" s="115"/>
      <c r="B32" s="21" t="s">
        <v>103</v>
      </c>
      <c r="C32" s="22">
        <v>1</v>
      </c>
      <c r="D32" s="22">
        <v>1</v>
      </c>
      <c r="E32" s="22"/>
      <c r="F32" s="22"/>
      <c r="G32" s="22"/>
      <c r="H32" s="22"/>
      <c r="I32" s="22"/>
      <c r="J32" s="22"/>
      <c r="K32" s="22"/>
      <c r="L32" s="22"/>
      <c r="M32" s="22"/>
      <c r="N32" s="22"/>
      <c r="O32" s="22"/>
      <c r="P32" s="22"/>
      <c r="Q32" s="22"/>
      <c r="R32" s="22"/>
      <c r="S32" s="22"/>
      <c r="T32" s="22"/>
      <c r="U32" s="22"/>
      <c r="V32" s="22"/>
      <c r="W32" s="22"/>
      <c r="X32" s="22"/>
      <c r="Y32" s="22"/>
      <c r="Z32" s="22"/>
      <c r="AA32" s="23" t="s">
        <v>97</v>
      </c>
      <c r="AB32" s="6" t="s">
        <v>29</v>
      </c>
      <c r="AC32" s="6"/>
      <c r="AD32" s="9"/>
    </row>
    <row r="33" spans="1:30" ht="68.25" customHeight="1" x14ac:dyDescent="0.2">
      <c r="A33" s="115"/>
      <c r="B33" s="21" t="s">
        <v>92</v>
      </c>
      <c r="C33" s="22">
        <v>1</v>
      </c>
      <c r="D33" s="22">
        <v>1</v>
      </c>
      <c r="E33" s="22">
        <v>1</v>
      </c>
      <c r="F33" s="22">
        <v>1</v>
      </c>
      <c r="G33" s="22">
        <v>1</v>
      </c>
      <c r="H33" s="22">
        <v>1</v>
      </c>
      <c r="I33" s="22">
        <v>1</v>
      </c>
      <c r="J33" s="22">
        <v>1</v>
      </c>
      <c r="K33" s="22">
        <v>1</v>
      </c>
      <c r="L33" s="22">
        <v>1</v>
      </c>
      <c r="M33" s="22">
        <v>1</v>
      </c>
      <c r="N33" s="22">
        <v>1</v>
      </c>
      <c r="O33" s="22">
        <v>1</v>
      </c>
      <c r="P33" s="22">
        <v>1</v>
      </c>
      <c r="Q33" s="22">
        <v>1</v>
      </c>
      <c r="R33" s="22">
        <v>1</v>
      </c>
      <c r="S33" s="22">
        <v>1</v>
      </c>
      <c r="T33" s="22"/>
      <c r="U33" s="22">
        <v>1</v>
      </c>
      <c r="V33" s="22"/>
      <c r="W33" s="22">
        <v>1</v>
      </c>
      <c r="X33" s="22"/>
      <c r="Y33" s="22">
        <v>1</v>
      </c>
      <c r="Z33" s="22"/>
      <c r="AA33" s="23" t="s">
        <v>93</v>
      </c>
      <c r="AB33" s="6" t="s">
        <v>29</v>
      </c>
      <c r="AC33" s="6"/>
      <c r="AD33" s="8"/>
    </row>
    <row r="34" spans="1:30" ht="68.25" customHeight="1" x14ac:dyDescent="0.2">
      <c r="A34" s="115"/>
      <c r="B34" s="21" t="s">
        <v>82</v>
      </c>
      <c r="C34" s="22"/>
      <c r="D34" s="22"/>
      <c r="E34" s="22"/>
      <c r="F34" s="22"/>
      <c r="G34" s="22">
        <v>1</v>
      </c>
      <c r="H34" s="22">
        <v>1</v>
      </c>
      <c r="I34" s="22"/>
      <c r="J34" s="22"/>
      <c r="K34" s="22"/>
      <c r="L34" s="22"/>
      <c r="M34" s="22">
        <v>1</v>
      </c>
      <c r="N34" s="22">
        <v>1</v>
      </c>
      <c r="O34" s="22"/>
      <c r="P34" s="22"/>
      <c r="Q34" s="22"/>
      <c r="R34" s="22"/>
      <c r="S34" s="22">
        <v>1</v>
      </c>
      <c r="T34" s="22"/>
      <c r="U34" s="22"/>
      <c r="V34" s="22"/>
      <c r="W34" s="22"/>
      <c r="X34" s="22"/>
      <c r="Y34" s="22">
        <v>1</v>
      </c>
      <c r="Z34" s="22"/>
      <c r="AA34" s="23" t="s">
        <v>83</v>
      </c>
      <c r="AB34" s="6" t="s">
        <v>29</v>
      </c>
      <c r="AC34" s="6"/>
      <c r="AD34" s="8"/>
    </row>
    <row r="35" spans="1:30" ht="68.25" customHeight="1" x14ac:dyDescent="0.2">
      <c r="A35" s="115"/>
      <c r="B35" s="32" t="s">
        <v>78</v>
      </c>
      <c r="C35" s="22"/>
      <c r="D35" s="22"/>
      <c r="E35" s="22"/>
      <c r="F35" s="22"/>
      <c r="G35" s="22"/>
      <c r="H35" s="22"/>
      <c r="I35" s="22"/>
      <c r="J35" s="22"/>
      <c r="K35" s="22"/>
      <c r="L35" s="22"/>
      <c r="M35" s="22"/>
      <c r="N35" s="22"/>
      <c r="O35" s="22"/>
      <c r="P35" s="22"/>
      <c r="Q35" s="22"/>
      <c r="R35" s="22"/>
      <c r="S35" s="22"/>
      <c r="T35" s="22"/>
      <c r="U35" s="22">
        <v>1</v>
      </c>
      <c r="V35" s="22"/>
      <c r="W35" s="22"/>
      <c r="X35" s="22"/>
      <c r="Y35" s="22"/>
      <c r="Z35" s="22"/>
      <c r="AA35" s="23" t="s">
        <v>39</v>
      </c>
      <c r="AB35" s="6"/>
      <c r="AC35" s="6" t="s">
        <v>29</v>
      </c>
      <c r="AD35" s="8"/>
    </row>
    <row r="36" spans="1:30" ht="88.5" customHeight="1" x14ac:dyDescent="0.2">
      <c r="A36" s="115"/>
      <c r="B36" s="21" t="s">
        <v>43</v>
      </c>
      <c r="C36" s="22"/>
      <c r="D36" s="22"/>
      <c r="E36" s="22"/>
      <c r="F36" s="22"/>
      <c r="G36" s="22"/>
      <c r="H36" s="22"/>
      <c r="I36" s="22"/>
      <c r="J36" s="22"/>
      <c r="K36" s="22"/>
      <c r="L36" s="22"/>
      <c r="M36" s="22">
        <v>1</v>
      </c>
      <c r="N36" s="22">
        <v>1</v>
      </c>
      <c r="O36" s="22"/>
      <c r="P36" s="22"/>
      <c r="Q36" s="22"/>
      <c r="R36" s="22"/>
      <c r="S36" s="22"/>
      <c r="T36" s="22"/>
      <c r="U36" s="22"/>
      <c r="V36" s="22"/>
      <c r="W36" s="22"/>
      <c r="X36" s="22"/>
      <c r="Y36" s="22">
        <v>1</v>
      </c>
      <c r="Z36" s="22"/>
      <c r="AA36" s="23" t="s">
        <v>93</v>
      </c>
      <c r="AB36" s="6" t="s">
        <v>29</v>
      </c>
      <c r="AC36" s="6"/>
      <c r="AD36" s="9"/>
    </row>
    <row r="37" spans="1:30" ht="60" customHeight="1" x14ac:dyDescent="0.2">
      <c r="A37" s="115"/>
      <c r="B37" s="21" t="s">
        <v>44</v>
      </c>
      <c r="C37" s="22"/>
      <c r="D37" s="22"/>
      <c r="E37" s="22"/>
      <c r="F37" s="22"/>
      <c r="G37" s="22"/>
      <c r="H37" s="22"/>
      <c r="I37" s="22"/>
      <c r="J37" s="22"/>
      <c r="K37" s="22"/>
      <c r="L37" s="22"/>
      <c r="M37" s="22">
        <v>1</v>
      </c>
      <c r="N37" s="22">
        <v>1</v>
      </c>
      <c r="O37" s="22"/>
      <c r="P37" s="22"/>
      <c r="Q37" s="22"/>
      <c r="R37" s="22"/>
      <c r="S37" s="22"/>
      <c r="T37" s="22"/>
      <c r="U37" s="22"/>
      <c r="V37" s="22"/>
      <c r="W37" s="22"/>
      <c r="X37" s="22"/>
      <c r="Y37" s="22">
        <v>1</v>
      </c>
      <c r="Z37" s="22"/>
      <c r="AA37" s="23" t="s">
        <v>93</v>
      </c>
      <c r="AB37" s="6" t="s">
        <v>29</v>
      </c>
      <c r="AC37" s="6"/>
      <c r="AD37" s="9"/>
    </row>
    <row r="38" spans="1:30" ht="81.75" customHeight="1" x14ac:dyDescent="0.2">
      <c r="A38" s="106" t="s">
        <v>28</v>
      </c>
      <c r="B38" s="21" t="s">
        <v>35</v>
      </c>
      <c r="C38" s="22"/>
      <c r="D38" s="22"/>
      <c r="E38" s="22"/>
      <c r="F38" s="22"/>
      <c r="G38" s="22"/>
      <c r="H38" s="22"/>
      <c r="I38" s="22"/>
      <c r="J38" s="22"/>
      <c r="K38" s="22"/>
      <c r="L38" s="22"/>
      <c r="M38" s="22"/>
      <c r="N38" s="22"/>
      <c r="O38" s="22"/>
      <c r="P38" s="22"/>
      <c r="Q38" s="22"/>
      <c r="R38" s="22"/>
      <c r="S38" s="22"/>
      <c r="T38" s="22"/>
      <c r="U38" s="22"/>
      <c r="V38" s="22"/>
      <c r="W38" s="22">
        <v>1</v>
      </c>
      <c r="X38" s="22"/>
      <c r="Y38" s="22"/>
      <c r="Z38" s="22"/>
      <c r="AA38" s="23" t="s">
        <v>39</v>
      </c>
      <c r="AB38" s="6" t="s">
        <v>29</v>
      </c>
      <c r="AC38" s="6" t="s">
        <v>29</v>
      </c>
      <c r="AD38" s="9"/>
    </row>
    <row r="39" spans="1:30" ht="52.5" customHeight="1" x14ac:dyDescent="0.2">
      <c r="A39" s="106"/>
      <c r="B39" s="21" t="s">
        <v>45</v>
      </c>
      <c r="C39" s="22"/>
      <c r="D39" s="22"/>
      <c r="E39" s="22"/>
      <c r="F39" s="22"/>
      <c r="G39" s="22"/>
      <c r="H39" s="22"/>
      <c r="I39" s="22"/>
      <c r="J39" s="22"/>
      <c r="K39" s="22"/>
      <c r="L39" s="22"/>
      <c r="M39" s="22"/>
      <c r="N39" s="22"/>
      <c r="O39" s="22"/>
      <c r="P39" s="22"/>
      <c r="Q39" s="22"/>
      <c r="R39" s="22"/>
      <c r="S39" s="22"/>
      <c r="T39" s="22"/>
      <c r="U39" s="22"/>
      <c r="V39" s="22"/>
      <c r="W39" s="22"/>
      <c r="X39" s="22"/>
      <c r="Y39" s="22">
        <v>1</v>
      </c>
      <c r="Z39" s="22"/>
      <c r="AA39" s="23" t="s">
        <v>40</v>
      </c>
      <c r="AB39" s="6" t="s">
        <v>29</v>
      </c>
      <c r="AC39" s="6"/>
      <c r="AD39" s="9"/>
    </row>
    <row r="40" spans="1:30" ht="77.25" customHeight="1" x14ac:dyDescent="0.2">
      <c r="A40" s="100" t="s">
        <v>32</v>
      </c>
      <c r="B40" s="21" t="s">
        <v>79</v>
      </c>
      <c r="C40" s="22"/>
      <c r="D40" s="22"/>
      <c r="E40" s="22"/>
      <c r="F40" s="22"/>
      <c r="G40" s="22"/>
      <c r="H40" s="22"/>
      <c r="I40" s="22"/>
      <c r="J40" s="22"/>
      <c r="K40" s="22"/>
      <c r="L40" s="22"/>
      <c r="M40" s="22"/>
      <c r="N40" s="22"/>
      <c r="O40" s="22"/>
      <c r="P40" s="22"/>
      <c r="Q40" s="22"/>
      <c r="R40" s="22"/>
      <c r="S40" s="22"/>
      <c r="T40" s="22"/>
      <c r="U40" s="22"/>
      <c r="V40" s="22"/>
      <c r="W40" s="22"/>
      <c r="X40" s="22"/>
      <c r="Y40" s="22">
        <v>1</v>
      </c>
      <c r="Z40" s="22"/>
      <c r="AA40" s="23" t="s">
        <v>97</v>
      </c>
      <c r="AB40" s="6" t="s">
        <v>29</v>
      </c>
      <c r="AC40" s="6"/>
      <c r="AD40" s="9"/>
    </row>
    <row r="41" spans="1:30" ht="52.5" customHeight="1" x14ac:dyDescent="0.2">
      <c r="A41" s="100"/>
      <c r="B41" s="21" t="s">
        <v>36</v>
      </c>
      <c r="C41" s="22"/>
      <c r="D41" s="22"/>
      <c r="E41" s="22"/>
      <c r="F41" s="22"/>
      <c r="G41" s="22"/>
      <c r="H41" s="22"/>
      <c r="I41" s="22"/>
      <c r="J41" s="22"/>
      <c r="K41" s="22"/>
      <c r="L41" s="22"/>
      <c r="M41" s="22">
        <v>1</v>
      </c>
      <c r="N41" s="22">
        <v>1</v>
      </c>
      <c r="O41" s="22"/>
      <c r="P41" s="22"/>
      <c r="Q41" s="22"/>
      <c r="R41" s="22"/>
      <c r="S41" s="22"/>
      <c r="T41" s="22"/>
      <c r="U41" s="22"/>
      <c r="V41" s="22"/>
      <c r="W41" s="22"/>
      <c r="X41" s="22"/>
      <c r="Y41" s="22">
        <v>1</v>
      </c>
      <c r="Z41" s="22"/>
      <c r="AA41" s="23" t="s">
        <v>93</v>
      </c>
      <c r="AB41" s="6" t="s">
        <v>29</v>
      </c>
      <c r="AC41" s="6"/>
      <c r="AD41" s="9"/>
    </row>
    <row r="42" spans="1:30" ht="75" customHeight="1" x14ac:dyDescent="0.2">
      <c r="A42" s="94" t="s">
        <v>10</v>
      </c>
      <c r="B42" s="95"/>
      <c r="C42" s="24">
        <f t="shared" ref="C42:Z42" si="0">SUM(C13:C41)</f>
        <v>5</v>
      </c>
      <c r="D42" s="24">
        <f t="shared" si="0"/>
        <v>5</v>
      </c>
      <c r="E42" s="24">
        <f t="shared" si="0"/>
        <v>3</v>
      </c>
      <c r="F42" s="24">
        <f t="shared" si="0"/>
        <v>3</v>
      </c>
      <c r="G42" s="24">
        <f t="shared" si="0"/>
        <v>4</v>
      </c>
      <c r="H42" s="24">
        <f t="shared" si="0"/>
        <v>3</v>
      </c>
      <c r="I42" s="24">
        <f t="shared" si="0"/>
        <v>2</v>
      </c>
      <c r="J42" s="24">
        <f t="shared" si="0"/>
        <v>2</v>
      </c>
      <c r="K42" s="24">
        <f t="shared" si="0"/>
        <v>3</v>
      </c>
      <c r="L42" s="24">
        <f t="shared" si="0"/>
        <v>3</v>
      </c>
      <c r="M42" s="24">
        <f t="shared" si="0"/>
        <v>11</v>
      </c>
      <c r="N42" s="24">
        <f t="shared" si="0"/>
        <v>9</v>
      </c>
      <c r="O42" s="24">
        <f t="shared" si="0"/>
        <v>1</v>
      </c>
      <c r="P42" s="24">
        <f t="shared" si="0"/>
        <v>1</v>
      </c>
      <c r="Q42" s="24">
        <f t="shared" si="0"/>
        <v>2</v>
      </c>
      <c r="R42" s="24">
        <f t="shared" si="0"/>
        <v>2</v>
      </c>
      <c r="S42" s="24">
        <f t="shared" si="0"/>
        <v>2</v>
      </c>
      <c r="T42" s="24">
        <f t="shared" si="0"/>
        <v>0</v>
      </c>
      <c r="U42" s="24">
        <f t="shared" si="0"/>
        <v>3</v>
      </c>
      <c r="V42" s="24">
        <f t="shared" si="0"/>
        <v>0</v>
      </c>
      <c r="W42" s="24">
        <f t="shared" si="0"/>
        <v>3</v>
      </c>
      <c r="X42" s="24">
        <f t="shared" si="0"/>
        <v>0</v>
      </c>
      <c r="Y42" s="25">
        <f t="shared" si="0"/>
        <v>8</v>
      </c>
      <c r="Z42" s="24">
        <f t="shared" si="0"/>
        <v>0</v>
      </c>
      <c r="AA42" s="26"/>
      <c r="AB42" s="6"/>
      <c r="AC42" s="6"/>
      <c r="AD42" s="11"/>
    </row>
    <row r="43" spans="1:30" ht="21" customHeight="1" x14ac:dyDescent="0.2">
      <c r="A43" s="71" t="s">
        <v>7</v>
      </c>
      <c r="B43" s="81"/>
      <c r="C43" s="81"/>
      <c r="D43" s="81"/>
      <c r="E43" s="81"/>
      <c r="F43" s="81"/>
      <c r="G43" s="81"/>
      <c r="H43" s="81"/>
      <c r="I43" s="81"/>
      <c r="J43" s="81"/>
      <c r="K43" s="81"/>
      <c r="L43" s="81"/>
      <c r="M43" s="81"/>
      <c r="N43" s="81"/>
      <c r="O43" s="81"/>
      <c r="P43" s="81"/>
      <c r="Q43" s="81"/>
      <c r="R43" s="81"/>
      <c r="S43" s="81"/>
      <c r="T43" s="81"/>
      <c r="U43" s="81"/>
      <c r="V43" s="81"/>
      <c r="W43" s="81"/>
      <c r="X43" s="81"/>
      <c r="Y43" s="81"/>
      <c r="Z43" s="81"/>
      <c r="AA43" s="72"/>
      <c r="AB43" s="3"/>
      <c r="AC43" s="3"/>
      <c r="AD43" s="11"/>
    </row>
    <row r="44" spans="1:30" ht="15" customHeight="1" x14ac:dyDescent="0.2">
      <c r="A44" s="82" t="s">
        <v>57</v>
      </c>
      <c r="B44" s="83"/>
      <c r="C44" s="83"/>
      <c r="D44" s="83"/>
      <c r="E44" s="83"/>
      <c r="F44" s="83"/>
      <c r="G44" s="83"/>
      <c r="H44" s="83"/>
      <c r="I44" s="83"/>
      <c r="J44" s="83"/>
      <c r="K44" s="83"/>
      <c r="L44" s="83"/>
      <c r="M44" s="83"/>
      <c r="N44" s="83"/>
      <c r="O44" s="83"/>
      <c r="P44" s="83"/>
      <c r="Q44" s="83"/>
      <c r="R44" s="83"/>
      <c r="S44" s="83"/>
      <c r="T44" s="83"/>
      <c r="U44" s="83"/>
      <c r="V44" s="83"/>
      <c r="W44" s="83"/>
      <c r="X44" s="83"/>
      <c r="Y44" s="83"/>
      <c r="Z44" s="83"/>
      <c r="AA44" s="83"/>
      <c r="AB44" s="83"/>
      <c r="AC44" s="83"/>
      <c r="AD44" s="84"/>
    </row>
    <row r="45" spans="1:30" s="4" customFormat="1" ht="8.25" customHeight="1" thickBot="1" x14ac:dyDescent="0.25">
      <c r="A45" s="73"/>
      <c r="B45" s="74"/>
      <c r="C45" s="74"/>
      <c r="D45" s="74"/>
      <c r="E45" s="74"/>
      <c r="F45" s="74"/>
      <c r="G45" s="74"/>
      <c r="H45" s="74"/>
      <c r="I45" s="74"/>
      <c r="J45" s="74"/>
      <c r="K45" s="74"/>
      <c r="L45" s="74"/>
      <c r="M45" s="74"/>
      <c r="N45" s="74"/>
      <c r="O45" s="74"/>
      <c r="P45" s="74"/>
      <c r="Q45" s="74"/>
      <c r="R45" s="74"/>
      <c r="S45" s="74"/>
      <c r="T45" s="74"/>
      <c r="U45" s="74"/>
      <c r="V45" s="74"/>
      <c r="W45" s="74"/>
      <c r="X45" s="74"/>
      <c r="Y45" s="74"/>
      <c r="Z45" s="74"/>
      <c r="AA45" s="75"/>
      <c r="AB45" s="75"/>
      <c r="AC45" s="75"/>
      <c r="AD45" s="76"/>
    </row>
    <row r="46" spans="1:30" ht="24" customHeight="1" x14ac:dyDescent="0.2">
      <c r="A46" s="71" t="s">
        <v>71</v>
      </c>
      <c r="B46" s="72"/>
      <c r="C46" s="77" t="s">
        <v>58</v>
      </c>
      <c r="D46" s="78"/>
      <c r="E46" s="77" t="s">
        <v>59</v>
      </c>
      <c r="F46" s="78"/>
      <c r="G46" s="77" t="s">
        <v>60</v>
      </c>
      <c r="H46" s="78"/>
      <c r="I46" s="77" t="s">
        <v>61</v>
      </c>
      <c r="J46" s="78"/>
      <c r="K46" s="77" t="s">
        <v>62</v>
      </c>
      <c r="L46" s="78"/>
      <c r="M46" s="77" t="s">
        <v>63</v>
      </c>
      <c r="N46" s="78"/>
      <c r="O46" s="77" t="s">
        <v>64</v>
      </c>
      <c r="P46" s="78"/>
      <c r="Q46" s="77" t="s">
        <v>65</v>
      </c>
      <c r="R46" s="78"/>
      <c r="S46" s="77" t="s">
        <v>66</v>
      </c>
      <c r="T46" s="78"/>
      <c r="U46" s="77" t="s">
        <v>67</v>
      </c>
      <c r="V46" s="78"/>
      <c r="W46" s="77" t="s">
        <v>68</v>
      </c>
      <c r="X46" s="78"/>
      <c r="Y46" s="77" t="s">
        <v>69</v>
      </c>
      <c r="Z46" s="87"/>
      <c r="AA46" s="103" t="s">
        <v>4</v>
      </c>
      <c r="AB46" s="104"/>
      <c r="AC46" s="104"/>
      <c r="AD46" s="105"/>
    </row>
    <row r="47" spans="1:30" ht="23.1" customHeight="1" thickBot="1" x14ac:dyDescent="0.25">
      <c r="A47" s="69" t="s">
        <v>11</v>
      </c>
      <c r="B47" s="70"/>
      <c r="C47" s="13">
        <f>SUM(C42)</f>
        <v>5</v>
      </c>
      <c r="D47" s="13">
        <f t="shared" ref="D47:Z47" si="1">D42</f>
        <v>5</v>
      </c>
      <c r="E47" s="13">
        <f t="shared" si="1"/>
        <v>3</v>
      </c>
      <c r="F47" s="13">
        <f t="shared" si="1"/>
        <v>3</v>
      </c>
      <c r="G47" s="13">
        <f t="shared" si="1"/>
        <v>4</v>
      </c>
      <c r="H47" s="13">
        <f t="shared" si="1"/>
        <v>3</v>
      </c>
      <c r="I47" s="13">
        <f t="shared" si="1"/>
        <v>2</v>
      </c>
      <c r="J47" s="13">
        <f t="shared" si="1"/>
        <v>2</v>
      </c>
      <c r="K47" s="13">
        <f t="shared" si="1"/>
        <v>3</v>
      </c>
      <c r="L47" s="13">
        <f t="shared" si="1"/>
        <v>3</v>
      </c>
      <c r="M47" s="13">
        <f t="shared" si="1"/>
        <v>11</v>
      </c>
      <c r="N47" s="13">
        <f t="shared" si="1"/>
        <v>9</v>
      </c>
      <c r="O47" s="13">
        <f t="shared" si="1"/>
        <v>1</v>
      </c>
      <c r="P47" s="13">
        <f t="shared" si="1"/>
        <v>1</v>
      </c>
      <c r="Q47" s="13">
        <f t="shared" si="1"/>
        <v>2</v>
      </c>
      <c r="R47" s="13">
        <f t="shared" si="1"/>
        <v>2</v>
      </c>
      <c r="S47" s="13">
        <f t="shared" si="1"/>
        <v>2</v>
      </c>
      <c r="T47" s="13">
        <f t="shared" si="1"/>
        <v>0</v>
      </c>
      <c r="U47" s="13">
        <f t="shared" si="1"/>
        <v>3</v>
      </c>
      <c r="V47" s="13">
        <f t="shared" si="1"/>
        <v>0</v>
      </c>
      <c r="W47" s="13">
        <f t="shared" si="1"/>
        <v>3</v>
      </c>
      <c r="X47" s="13">
        <f t="shared" si="1"/>
        <v>0</v>
      </c>
      <c r="Y47" s="13">
        <f t="shared" si="1"/>
        <v>8</v>
      </c>
      <c r="Z47" s="14">
        <f t="shared" si="1"/>
        <v>0</v>
      </c>
      <c r="AA47" s="80">
        <f>C47+E47+G47+I47+K47+M47+O47+Q47+S47+U47+W47+Y47</f>
        <v>47</v>
      </c>
      <c r="AB47" s="85">
        <f>D47+F47+H47+J47+L47+N47+P47+R47+T47+V47+X47+Z47</f>
        <v>28</v>
      </c>
      <c r="AC47" s="85"/>
      <c r="AD47" s="28">
        <f>AB47/AA47</f>
        <v>0.5957446808510638</v>
      </c>
    </row>
    <row r="48" spans="1:30" ht="18" customHeight="1" x14ac:dyDescent="0.2">
      <c r="A48" s="69" t="s">
        <v>70</v>
      </c>
      <c r="B48" s="70"/>
      <c r="C48" s="44">
        <f>D47/C47</f>
        <v>1</v>
      </c>
      <c r="D48" s="45"/>
      <c r="E48" s="44">
        <f>F47/E47</f>
        <v>1</v>
      </c>
      <c r="F48" s="45"/>
      <c r="G48" s="44">
        <f>H47/G47</f>
        <v>0.75</v>
      </c>
      <c r="H48" s="45"/>
      <c r="I48" s="44">
        <f>J47/I47</f>
        <v>1</v>
      </c>
      <c r="J48" s="45"/>
      <c r="K48" s="44">
        <f>L47/K47</f>
        <v>1</v>
      </c>
      <c r="L48" s="45"/>
      <c r="M48" s="44">
        <f>N47/M47</f>
        <v>0.81818181818181823</v>
      </c>
      <c r="N48" s="45"/>
      <c r="O48" s="44">
        <f>P47/O47</f>
        <v>1</v>
      </c>
      <c r="P48" s="45"/>
      <c r="Q48" s="44">
        <f>R47/Q47</f>
        <v>1</v>
      </c>
      <c r="R48" s="45"/>
      <c r="S48" s="44">
        <f>T47/S47</f>
        <v>0</v>
      </c>
      <c r="T48" s="45"/>
      <c r="U48" s="44">
        <f>V47/U47</f>
        <v>0</v>
      </c>
      <c r="V48" s="45"/>
      <c r="W48" s="44">
        <f>X47/W47</f>
        <v>0</v>
      </c>
      <c r="X48" s="45"/>
      <c r="Y48" s="44">
        <f>Z47/Y47</f>
        <v>0</v>
      </c>
      <c r="Z48" s="46"/>
      <c r="AA48" s="80"/>
      <c r="AB48" s="85"/>
      <c r="AC48" s="86"/>
      <c r="AD48" s="29" t="s">
        <v>5</v>
      </c>
    </row>
    <row r="49" spans="1:30" ht="23.25" customHeight="1" thickBot="1" x14ac:dyDescent="0.25">
      <c r="A49" s="61" t="s">
        <v>24</v>
      </c>
      <c r="B49" s="62"/>
      <c r="C49" s="50">
        <v>0.9</v>
      </c>
      <c r="D49" s="52"/>
      <c r="E49" s="50">
        <v>0.9</v>
      </c>
      <c r="F49" s="52"/>
      <c r="G49" s="50">
        <v>0.9</v>
      </c>
      <c r="H49" s="52"/>
      <c r="I49" s="50">
        <v>0.9</v>
      </c>
      <c r="J49" s="52"/>
      <c r="K49" s="50">
        <v>0.9</v>
      </c>
      <c r="L49" s="52"/>
      <c r="M49" s="50">
        <v>0.9</v>
      </c>
      <c r="N49" s="52"/>
      <c r="O49" s="50">
        <v>0.9</v>
      </c>
      <c r="P49" s="52"/>
      <c r="Q49" s="50">
        <v>0.9</v>
      </c>
      <c r="R49" s="52"/>
      <c r="S49" s="50">
        <v>0.9</v>
      </c>
      <c r="T49" s="52"/>
      <c r="U49" s="50">
        <v>0.9</v>
      </c>
      <c r="V49" s="52"/>
      <c r="W49" s="50">
        <v>0.9</v>
      </c>
      <c r="X49" s="52"/>
      <c r="Y49" s="50">
        <v>0.9</v>
      </c>
      <c r="Z49" s="51"/>
      <c r="AA49" s="15" t="s">
        <v>25</v>
      </c>
      <c r="AB49" s="48" t="s">
        <v>26</v>
      </c>
      <c r="AC49" s="49"/>
      <c r="AD49" s="30">
        <v>0.9</v>
      </c>
    </row>
    <row r="50" spans="1:30" x14ac:dyDescent="0.2">
      <c r="A50" s="53"/>
      <c r="B50" s="54"/>
      <c r="C50" s="54"/>
      <c r="D50" s="54"/>
      <c r="E50" s="54"/>
      <c r="F50" s="54"/>
      <c r="G50" s="54"/>
      <c r="H50" s="54"/>
      <c r="I50" s="54"/>
      <c r="J50" s="54"/>
      <c r="K50" s="54"/>
      <c r="L50" s="54"/>
      <c r="M50" s="54"/>
      <c r="N50" s="54"/>
      <c r="O50" s="54"/>
      <c r="P50" s="54"/>
      <c r="Q50" s="54"/>
      <c r="R50" s="54"/>
      <c r="S50" s="54"/>
      <c r="T50" s="54"/>
      <c r="U50" s="54"/>
      <c r="V50" s="54"/>
      <c r="W50" s="54"/>
      <c r="X50" s="54"/>
      <c r="Y50" s="54"/>
      <c r="Z50" s="54"/>
      <c r="AA50" s="55"/>
      <c r="AB50" s="55"/>
      <c r="AC50" s="55"/>
      <c r="AD50" s="56"/>
    </row>
    <row r="51" spans="1:30" x14ac:dyDescent="0.2">
      <c r="A51" s="57"/>
      <c r="B51" s="55"/>
      <c r="C51" s="55"/>
      <c r="D51" s="55"/>
      <c r="E51" s="55"/>
      <c r="F51" s="55"/>
      <c r="G51" s="55"/>
      <c r="H51" s="55"/>
      <c r="I51" s="55"/>
      <c r="J51" s="55"/>
      <c r="K51" s="55"/>
      <c r="L51" s="55"/>
      <c r="M51" s="55"/>
      <c r="N51" s="55"/>
      <c r="O51" s="55"/>
      <c r="P51" s="55"/>
      <c r="Q51" s="55"/>
      <c r="R51" s="55"/>
      <c r="S51" s="55"/>
      <c r="T51" s="55"/>
      <c r="U51" s="55"/>
      <c r="V51" s="55"/>
      <c r="W51" s="55"/>
      <c r="X51" s="55"/>
      <c r="Y51" s="55"/>
      <c r="Z51" s="55"/>
      <c r="AA51" s="55"/>
      <c r="AB51" s="55"/>
      <c r="AC51" s="55"/>
      <c r="AD51" s="56"/>
    </row>
    <row r="52" spans="1:30" x14ac:dyDescent="0.2">
      <c r="A52" s="57"/>
      <c r="B52" s="55"/>
      <c r="C52" s="55"/>
      <c r="D52" s="55"/>
      <c r="E52" s="55"/>
      <c r="F52" s="55"/>
      <c r="G52" s="55"/>
      <c r="H52" s="55"/>
      <c r="I52" s="55"/>
      <c r="J52" s="55"/>
      <c r="K52" s="55"/>
      <c r="L52" s="55"/>
      <c r="M52" s="55"/>
      <c r="N52" s="55"/>
      <c r="O52" s="55"/>
      <c r="P52" s="55"/>
      <c r="Q52" s="55"/>
      <c r="R52" s="55"/>
      <c r="S52" s="55"/>
      <c r="T52" s="55"/>
      <c r="U52" s="55"/>
      <c r="V52" s="55"/>
      <c r="W52" s="55"/>
      <c r="X52" s="55"/>
      <c r="Y52" s="55"/>
      <c r="Z52" s="55"/>
      <c r="AA52" s="55"/>
      <c r="AB52" s="55"/>
      <c r="AC52" s="55"/>
      <c r="AD52" s="56"/>
    </row>
    <row r="53" spans="1:30" x14ac:dyDescent="0.2">
      <c r="A53" s="57"/>
      <c r="B53" s="55"/>
      <c r="C53" s="55"/>
      <c r="D53" s="55"/>
      <c r="E53" s="55"/>
      <c r="F53" s="55"/>
      <c r="G53" s="55"/>
      <c r="H53" s="55"/>
      <c r="I53" s="55"/>
      <c r="J53" s="55"/>
      <c r="K53" s="55"/>
      <c r="L53" s="55"/>
      <c r="M53" s="55"/>
      <c r="N53" s="55"/>
      <c r="O53" s="55"/>
      <c r="P53" s="55"/>
      <c r="Q53" s="55"/>
      <c r="R53" s="55"/>
      <c r="S53" s="55"/>
      <c r="T53" s="55"/>
      <c r="U53" s="55"/>
      <c r="V53" s="55"/>
      <c r="W53" s="55"/>
      <c r="X53" s="55"/>
      <c r="Y53" s="55"/>
      <c r="Z53" s="55"/>
      <c r="AA53" s="55"/>
      <c r="AB53" s="55"/>
      <c r="AC53" s="55"/>
      <c r="AD53" s="56"/>
    </row>
    <row r="54" spans="1:30" x14ac:dyDescent="0.2">
      <c r="A54" s="57"/>
      <c r="B54" s="55"/>
      <c r="C54" s="55"/>
      <c r="D54" s="55"/>
      <c r="E54" s="55"/>
      <c r="F54" s="55"/>
      <c r="G54" s="55"/>
      <c r="H54" s="55"/>
      <c r="I54" s="55"/>
      <c r="J54" s="55"/>
      <c r="K54" s="55"/>
      <c r="L54" s="55"/>
      <c r="M54" s="55"/>
      <c r="N54" s="55"/>
      <c r="O54" s="55"/>
      <c r="P54" s="55"/>
      <c r="Q54" s="55"/>
      <c r="R54" s="55"/>
      <c r="S54" s="55"/>
      <c r="T54" s="55"/>
      <c r="U54" s="55"/>
      <c r="V54" s="55"/>
      <c r="W54" s="55"/>
      <c r="X54" s="55"/>
      <c r="Y54" s="55"/>
      <c r="Z54" s="55"/>
      <c r="AA54" s="55"/>
      <c r="AB54" s="55"/>
      <c r="AC54" s="55"/>
      <c r="AD54" s="56"/>
    </row>
    <row r="55" spans="1:30" x14ac:dyDescent="0.2">
      <c r="A55" s="57"/>
      <c r="B55" s="55"/>
      <c r="C55" s="55"/>
      <c r="D55" s="55"/>
      <c r="E55" s="55"/>
      <c r="F55" s="55"/>
      <c r="G55" s="55"/>
      <c r="H55" s="55"/>
      <c r="I55" s="55"/>
      <c r="J55" s="55"/>
      <c r="K55" s="55"/>
      <c r="L55" s="55"/>
      <c r="M55" s="55"/>
      <c r="N55" s="55"/>
      <c r="O55" s="55"/>
      <c r="P55" s="55"/>
      <c r="Q55" s="55"/>
      <c r="R55" s="55"/>
      <c r="S55" s="55"/>
      <c r="T55" s="55"/>
      <c r="U55" s="55"/>
      <c r="V55" s="55"/>
      <c r="W55" s="55"/>
      <c r="X55" s="55"/>
      <c r="Y55" s="55"/>
      <c r="Z55" s="55"/>
      <c r="AA55" s="55"/>
      <c r="AB55" s="55"/>
      <c r="AC55" s="55"/>
      <c r="AD55" s="56"/>
    </row>
    <row r="56" spans="1:30" x14ac:dyDescent="0.2">
      <c r="A56" s="57"/>
      <c r="B56" s="55"/>
      <c r="C56" s="55"/>
      <c r="D56" s="55"/>
      <c r="E56" s="55"/>
      <c r="F56" s="55"/>
      <c r="G56" s="55"/>
      <c r="H56" s="55"/>
      <c r="I56" s="55"/>
      <c r="J56" s="55"/>
      <c r="K56" s="55"/>
      <c r="L56" s="55"/>
      <c r="M56" s="55"/>
      <c r="N56" s="55"/>
      <c r="O56" s="55"/>
      <c r="P56" s="55"/>
      <c r="Q56" s="55"/>
      <c r="R56" s="55"/>
      <c r="S56" s="55"/>
      <c r="T56" s="55"/>
      <c r="U56" s="55"/>
      <c r="V56" s="55"/>
      <c r="W56" s="55"/>
      <c r="X56" s="55"/>
      <c r="Y56" s="55"/>
      <c r="Z56" s="55"/>
      <c r="AA56" s="55"/>
      <c r="AB56" s="55"/>
      <c r="AC56" s="55"/>
      <c r="AD56" s="56"/>
    </row>
    <row r="57" spans="1:30" x14ac:dyDescent="0.2">
      <c r="A57" s="57"/>
      <c r="B57" s="55"/>
      <c r="C57" s="55"/>
      <c r="D57" s="55"/>
      <c r="E57" s="55"/>
      <c r="F57" s="55"/>
      <c r="G57" s="55"/>
      <c r="H57" s="55"/>
      <c r="I57" s="55"/>
      <c r="J57" s="55"/>
      <c r="K57" s="55"/>
      <c r="L57" s="55"/>
      <c r="M57" s="55"/>
      <c r="N57" s="55"/>
      <c r="O57" s="55"/>
      <c r="P57" s="55"/>
      <c r="Q57" s="55"/>
      <c r="R57" s="55"/>
      <c r="S57" s="55"/>
      <c r="T57" s="55"/>
      <c r="U57" s="55"/>
      <c r="V57" s="55"/>
      <c r="W57" s="55"/>
      <c r="X57" s="55"/>
      <c r="Y57" s="55"/>
      <c r="Z57" s="55"/>
      <c r="AA57" s="55"/>
      <c r="AB57" s="55"/>
      <c r="AC57" s="55"/>
      <c r="AD57" s="56"/>
    </row>
    <row r="58" spans="1:30" x14ac:dyDescent="0.2">
      <c r="A58" s="57"/>
      <c r="B58" s="55"/>
      <c r="C58" s="55"/>
      <c r="D58" s="55"/>
      <c r="E58" s="55"/>
      <c r="F58" s="55"/>
      <c r="G58" s="55"/>
      <c r="H58" s="55"/>
      <c r="I58" s="55"/>
      <c r="J58" s="55"/>
      <c r="K58" s="55"/>
      <c r="L58" s="55"/>
      <c r="M58" s="55"/>
      <c r="N58" s="55"/>
      <c r="O58" s="55"/>
      <c r="P58" s="55"/>
      <c r="Q58" s="55"/>
      <c r="R58" s="55"/>
      <c r="S58" s="55"/>
      <c r="T58" s="55"/>
      <c r="U58" s="55"/>
      <c r="V58" s="55"/>
      <c r="W58" s="55"/>
      <c r="X58" s="55"/>
      <c r="Y58" s="55"/>
      <c r="Z58" s="55"/>
      <c r="AA58" s="55"/>
      <c r="AB58" s="55"/>
      <c r="AC58" s="55"/>
      <c r="AD58" s="56"/>
    </row>
    <row r="59" spans="1:30" x14ac:dyDescent="0.2">
      <c r="A59" s="57"/>
      <c r="B59" s="55"/>
      <c r="C59" s="55"/>
      <c r="D59" s="55"/>
      <c r="E59" s="55"/>
      <c r="F59" s="55"/>
      <c r="G59" s="55"/>
      <c r="H59" s="55"/>
      <c r="I59" s="55"/>
      <c r="J59" s="55"/>
      <c r="K59" s="55"/>
      <c r="L59" s="55"/>
      <c r="M59" s="55"/>
      <c r="N59" s="55"/>
      <c r="O59" s="55"/>
      <c r="P59" s="55"/>
      <c r="Q59" s="55"/>
      <c r="R59" s="55"/>
      <c r="S59" s="55"/>
      <c r="T59" s="55"/>
      <c r="U59" s="55"/>
      <c r="V59" s="55"/>
      <c r="W59" s="55"/>
      <c r="X59" s="55"/>
      <c r="Y59" s="55"/>
      <c r="Z59" s="55"/>
      <c r="AA59" s="55"/>
      <c r="AB59" s="55"/>
      <c r="AC59" s="55"/>
      <c r="AD59" s="56"/>
    </row>
    <row r="60" spans="1:30" x14ac:dyDescent="0.2">
      <c r="A60" s="57"/>
      <c r="B60" s="55"/>
      <c r="C60" s="55"/>
      <c r="D60" s="55"/>
      <c r="E60" s="55"/>
      <c r="F60" s="55"/>
      <c r="G60" s="55"/>
      <c r="H60" s="55"/>
      <c r="I60" s="55"/>
      <c r="J60" s="55"/>
      <c r="K60" s="55"/>
      <c r="L60" s="55"/>
      <c r="M60" s="55"/>
      <c r="N60" s="55"/>
      <c r="O60" s="55"/>
      <c r="P60" s="55"/>
      <c r="Q60" s="55"/>
      <c r="R60" s="55"/>
      <c r="S60" s="55"/>
      <c r="T60" s="55"/>
      <c r="U60" s="55"/>
      <c r="V60" s="55"/>
      <c r="W60" s="55"/>
      <c r="X60" s="55"/>
      <c r="Y60" s="55"/>
      <c r="Z60" s="55"/>
      <c r="AA60" s="55"/>
      <c r="AB60" s="55"/>
      <c r="AC60" s="55"/>
      <c r="AD60" s="56"/>
    </row>
    <row r="61" spans="1:30" x14ac:dyDescent="0.2">
      <c r="A61" s="57"/>
      <c r="B61" s="55"/>
      <c r="C61" s="55"/>
      <c r="D61" s="55"/>
      <c r="E61" s="55"/>
      <c r="F61" s="55"/>
      <c r="G61" s="55"/>
      <c r="H61" s="55"/>
      <c r="I61" s="55"/>
      <c r="J61" s="55"/>
      <c r="K61" s="55"/>
      <c r="L61" s="55"/>
      <c r="M61" s="55"/>
      <c r="N61" s="55"/>
      <c r="O61" s="55"/>
      <c r="P61" s="55"/>
      <c r="Q61" s="55"/>
      <c r="R61" s="55"/>
      <c r="S61" s="55"/>
      <c r="T61" s="55"/>
      <c r="U61" s="55"/>
      <c r="V61" s="55"/>
      <c r="W61" s="55"/>
      <c r="X61" s="55"/>
      <c r="Y61" s="55"/>
      <c r="Z61" s="55"/>
      <c r="AA61" s="55"/>
      <c r="AB61" s="55"/>
      <c r="AC61" s="55"/>
      <c r="AD61" s="56"/>
    </row>
    <row r="62" spans="1:30" x14ac:dyDescent="0.2">
      <c r="A62" s="57"/>
      <c r="B62" s="55"/>
      <c r="C62" s="55"/>
      <c r="D62" s="55"/>
      <c r="E62" s="55"/>
      <c r="F62" s="55"/>
      <c r="G62" s="55"/>
      <c r="H62" s="55"/>
      <c r="I62" s="55"/>
      <c r="J62" s="55"/>
      <c r="K62" s="55"/>
      <c r="L62" s="55"/>
      <c r="M62" s="55"/>
      <c r="N62" s="55"/>
      <c r="O62" s="55"/>
      <c r="P62" s="55"/>
      <c r="Q62" s="55"/>
      <c r="R62" s="55"/>
      <c r="S62" s="55"/>
      <c r="T62" s="55"/>
      <c r="U62" s="55"/>
      <c r="V62" s="55"/>
      <c r="W62" s="55"/>
      <c r="X62" s="55"/>
      <c r="Y62" s="55"/>
      <c r="Z62" s="55"/>
      <c r="AA62" s="55"/>
      <c r="AB62" s="55"/>
      <c r="AC62" s="55"/>
      <c r="AD62" s="56"/>
    </row>
    <row r="63" spans="1:30" x14ac:dyDescent="0.2">
      <c r="A63" s="57"/>
      <c r="B63" s="55"/>
      <c r="C63" s="55"/>
      <c r="D63" s="55"/>
      <c r="E63" s="55"/>
      <c r="F63" s="55"/>
      <c r="G63" s="55"/>
      <c r="H63" s="55"/>
      <c r="I63" s="55"/>
      <c r="J63" s="55"/>
      <c r="K63" s="55"/>
      <c r="L63" s="55"/>
      <c r="M63" s="55"/>
      <c r="N63" s="55"/>
      <c r="O63" s="55"/>
      <c r="P63" s="55"/>
      <c r="Q63" s="55"/>
      <c r="R63" s="55"/>
      <c r="S63" s="55"/>
      <c r="T63" s="55"/>
      <c r="U63" s="55"/>
      <c r="V63" s="55"/>
      <c r="W63" s="55"/>
      <c r="X63" s="55"/>
      <c r="Y63" s="55"/>
      <c r="Z63" s="55"/>
      <c r="AA63" s="55"/>
      <c r="AB63" s="55"/>
      <c r="AC63" s="55"/>
      <c r="AD63" s="56"/>
    </row>
    <row r="64" spans="1:30" x14ac:dyDescent="0.2">
      <c r="A64" s="57"/>
      <c r="B64" s="55"/>
      <c r="C64" s="55"/>
      <c r="D64" s="55"/>
      <c r="E64" s="55"/>
      <c r="F64" s="55"/>
      <c r="G64" s="55"/>
      <c r="H64" s="55"/>
      <c r="I64" s="55"/>
      <c r="J64" s="55"/>
      <c r="K64" s="55"/>
      <c r="L64" s="55"/>
      <c r="M64" s="55"/>
      <c r="N64" s="55"/>
      <c r="O64" s="55"/>
      <c r="P64" s="55"/>
      <c r="Q64" s="55"/>
      <c r="R64" s="55"/>
      <c r="S64" s="55"/>
      <c r="T64" s="55"/>
      <c r="U64" s="55"/>
      <c r="V64" s="55"/>
      <c r="W64" s="55"/>
      <c r="X64" s="55"/>
      <c r="Y64" s="55"/>
      <c r="Z64" s="55"/>
      <c r="AA64" s="55"/>
      <c r="AB64" s="55"/>
      <c r="AC64" s="55"/>
      <c r="AD64" s="56"/>
    </row>
    <row r="65" spans="1:30" x14ac:dyDescent="0.2">
      <c r="A65" s="57"/>
      <c r="B65" s="55"/>
      <c r="C65" s="55"/>
      <c r="D65" s="55"/>
      <c r="E65" s="55"/>
      <c r="F65" s="55"/>
      <c r="G65" s="55"/>
      <c r="H65" s="55"/>
      <c r="I65" s="55"/>
      <c r="J65" s="55"/>
      <c r="K65" s="55"/>
      <c r="L65" s="55"/>
      <c r="M65" s="55"/>
      <c r="N65" s="55"/>
      <c r="O65" s="55"/>
      <c r="P65" s="55"/>
      <c r="Q65" s="55"/>
      <c r="R65" s="55"/>
      <c r="S65" s="55"/>
      <c r="T65" s="55"/>
      <c r="U65" s="55"/>
      <c r="V65" s="55"/>
      <c r="W65" s="55"/>
      <c r="X65" s="55"/>
      <c r="Y65" s="55"/>
      <c r="Z65" s="55"/>
      <c r="AA65" s="55"/>
      <c r="AB65" s="55"/>
      <c r="AC65" s="55"/>
      <c r="AD65" s="56"/>
    </row>
    <row r="66" spans="1:30" x14ac:dyDescent="0.2">
      <c r="A66" s="57"/>
      <c r="B66" s="55"/>
      <c r="C66" s="55"/>
      <c r="D66" s="55"/>
      <c r="E66" s="55"/>
      <c r="F66" s="55"/>
      <c r="G66" s="55"/>
      <c r="H66" s="55"/>
      <c r="I66" s="55"/>
      <c r="J66" s="55"/>
      <c r="K66" s="55"/>
      <c r="L66" s="55"/>
      <c r="M66" s="55"/>
      <c r="N66" s="55"/>
      <c r="O66" s="55"/>
      <c r="P66" s="55"/>
      <c r="Q66" s="55"/>
      <c r="R66" s="55"/>
      <c r="S66" s="55"/>
      <c r="T66" s="55"/>
      <c r="U66" s="55"/>
      <c r="V66" s="55"/>
      <c r="W66" s="55"/>
      <c r="X66" s="55"/>
      <c r="Y66" s="55"/>
      <c r="Z66" s="55"/>
      <c r="AA66" s="55"/>
      <c r="AB66" s="55"/>
      <c r="AC66" s="55"/>
      <c r="AD66" s="56"/>
    </row>
    <row r="67" spans="1:30" ht="11.25" customHeight="1" thickBot="1" x14ac:dyDescent="0.25">
      <c r="A67" s="58"/>
      <c r="B67" s="59"/>
      <c r="C67" s="59"/>
      <c r="D67" s="59"/>
      <c r="E67" s="59"/>
      <c r="F67" s="59"/>
      <c r="G67" s="59"/>
      <c r="H67" s="59"/>
      <c r="I67" s="59"/>
      <c r="J67" s="59"/>
      <c r="K67" s="59"/>
      <c r="L67" s="59"/>
      <c r="M67" s="59"/>
      <c r="N67" s="59"/>
      <c r="O67" s="59"/>
      <c r="P67" s="59"/>
      <c r="Q67" s="59"/>
      <c r="R67" s="59"/>
      <c r="S67" s="59"/>
      <c r="T67" s="59"/>
      <c r="U67" s="59"/>
      <c r="V67" s="59"/>
      <c r="W67" s="59"/>
      <c r="X67" s="59"/>
      <c r="Y67" s="59"/>
      <c r="Z67" s="59"/>
      <c r="AA67" s="59"/>
      <c r="AB67" s="59"/>
      <c r="AC67" s="59"/>
      <c r="AD67" s="60"/>
    </row>
    <row r="68" spans="1:30" s="18" customFormat="1" ht="26.25" customHeight="1" x14ac:dyDescent="0.2">
      <c r="A68" s="47" t="s">
        <v>80</v>
      </c>
      <c r="B68" s="39"/>
      <c r="C68" s="39" t="s">
        <v>46</v>
      </c>
      <c r="D68" s="39"/>
      <c r="E68" s="39"/>
      <c r="F68" s="39"/>
      <c r="G68" s="39"/>
      <c r="H68" s="39"/>
      <c r="I68" s="39"/>
      <c r="J68" s="39"/>
      <c r="K68" s="39"/>
      <c r="L68" s="39"/>
      <c r="M68" s="39"/>
      <c r="N68" s="39"/>
      <c r="O68" s="39" t="s">
        <v>47</v>
      </c>
      <c r="P68" s="39"/>
      <c r="Q68" s="39"/>
      <c r="R68" s="39"/>
      <c r="S68" s="39"/>
      <c r="T68" s="39"/>
      <c r="U68" s="39"/>
      <c r="V68" s="39"/>
      <c r="W68" s="39"/>
      <c r="X68" s="39"/>
      <c r="Y68" s="39"/>
      <c r="Z68" s="39"/>
      <c r="AA68" s="39" t="s">
        <v>48</v>
      </c>
      <c r="AB68" s="39"/>
      <c r="AC68" s="39"/>
      <c r="AD68" s="40"/>
    </row>
    <row r="69" spans="1:30" s="17" customFormat="1" ht="121.5" customHeight="1" thickBot="1" x14ac:dyDescent="0.3">
      <c r="A69" s="37" t="s">
        <v>102</v>
      </c>
      <c r="B69" s="38"/>
      <c r="C69" s="41" t="s">
        <v>88</v>
      </c>
      <c r="D69" s="42"/>
      <c r="E69" s="42"/>
      <c r="F69" s="42"/>
      <c r="G69" s="42"/>
      <c r="H69" s="42"/>
      <c r="I69" s="42"/>
      <c r="J69" s="42"/>
      <c r="K69" s="42"/>
      <c r="L69" s="42"/>
      <c r="M69" s="42"/>
      <c r="N69" s="42"/>
      <c r="O69" s="41" t="s">
        <v>87</v>
      </c>
      <c r="P69" s="42"/>
      <c r="Q69" s="42"/>
      <c r="R69" s="42"/>
      <c r="S69" s="42"/>
      <c r="T69" s="42"/>
      <c r="U69" s="42"/>
      <c r="V69" s="42"/>
      <c r="W69" s="42"/>
      <c r="X69" s="42"/>
      <c r="Y69" s="42"/>
      <c r="Z69" s="42"/>
      <c r="AA69" s="41" t="s">
        <v>89</v>
      </c>
      <c r="AB69" s="42"/>
      <c r="AC69" s="42"/>
      <c r="AD69" s="43"/>
    </row>
  </sheetData>
  <autoFilter ref="A12:AF44" xr:uid="{0AC6D68C-7C2E-4FB8-A656-314305530CBE}"/>
  <mergeCells count="97">
    <mergeCell ref="AA46:AD46"/>
    <mergeCell ref="E46:F46"/>
    <mergeCell ref="A38:A39"/>
    <mergeCell ref="A1:B3"/>
    <mergeCell ref="A9:AD9"/>
    <mergeCell ref="A10:A12"/>
    <mergeCell ref="AB11:AB12"/>
    <mergeCell ref="A28:A37"/>
    <mergeCell ref="C11:D11"/>
    <mergeCell ref="B10:B12"/>
    <mergeCell ref="Y8:AD8"/>
    <mergeCell ref="S11:T11"/>
    <mergeCell ref="I11:J11"/>
    <mergeCell ref="A13:A27"/>
    <mergeCell ref="C10:Z10"/>
    <mergeCell ref="U11:V11"/>
    <mergeCell ref="W11:X11"/>
    <mergeCell ref="Y11:Z11"/>
    <mergeCell ref="E11:F11"/>
    <mergeCell ref="K11:L11"/>
    <mergeCell ref="M11:N11"/>
    <mergeCell ref="C46:D46"/>
    <mergeCell ref="AB47:AC48"/>
    <mergeCell ref="W46:X46"/>
    <mergeCell ref="Y46:Z46"/>
    <mergeCell ref="A4:AD4"/>
    <mergeCell ref="A5:AD5"/>
    <mergeCell ref="A6:AD6"/>
    <mergeCell ref="A42:B42"/>
    <mergeCell ref="Q11:R11"/>
    <mergeCell ref="AA10:AA12"/>
    <mergeCell ref="A40:A41"/>
    <mergeCell ref="Y7:AD7"/>
    <mergeCell ref="AB10:AC10"/>
    <mergeCell ref="AD10:AD12"/>
    <mergeCell ref="O11:P11"/>
    <mergeCell ref="G11:H11"/>
    <mergeCell ref="C49:D49"/>
    <mergeCell ref="U48:V48"/>
    <mergeCell ref="AC11:AC12"/>
    <mergeCell ref="G46:H46"/>
    <mergeCell ref="I46:J46"/>
    <mergeCell ref="K46:L46"/>
    <mergeCell ref="M46:N46"/>
    <mergeCell ref="O46:P46"/>
    <mergeCell ref="Q46:R46"/>
    <mergeCell ref="AA47:AA48"/>
    <mergeCell ref="K48:L48"/>
    <mergeCell ref="M48:N48"/>
    <mergeCell ref="Q49:R49"/>
    <mergeCell ref="S49:T49"/>
    <mergeCell ref="A43:AA43"/>
    <mergeCell ref="A44:AD44"/>
    <mergeCell ref="G7:X7"/>
    <mergeCell ref="G8:X8"/>
    <mergeCell ref="A7:F7"/>
    <mergeCell ref="A8:F8"/>
    <mergeCell ref="Q48:R48"/>
    <mergeCell ref="C48:D48"/>
    <mergeCell ref="E48:F48"/>
    <mergeCell ref="G48:H48"/>
    <mergeCell ref="I48:J48"/>
    <mergeCell ref="O48:P48"/>
    <mergeCell ref="A47:B47"/>
    <mergeCell ref="A46:B46"/>
    <mergeCell ref="A48:B48"/>
    <mergeCell ref="A45:AD45"/>
    <mergeCell ref="S46:T46"/>
    <mergeCell ref="U46:V46"/>
    <mergeCell ref="W48:X48"/>
    <mergeCell ref="Y48:Z48"/>
    <mergeCell ref="S48:T48"/>
    <mergeCell ref="A68:B68"/>
    <mergeCell ref="AB49:AC49"/>
    <mergeCell ref="Y49:Z49"/>
    <mergeCell ref="E49:F49"/>
    <mergeCell ref="G49:H49"/>
    <mergeCell ref="O49:P49"/>
    <mergeCell ref="U49:V49"/>
    <mergeCell ref="W49:X49"/>
    <mergeCell ref="I49:J49"/>
    <mergeCell ref="K49:L49"/>
    <mergeCell ref="M49:N49"/>
    <mergeCell ref="A50:AD67"/>
    <mergeCell ref="A49:B49"/>
    <mergeCell ref="A69:B69"/>
    <mergeCell ref="AA68:AD68"/>
    <mergeCell ref="O68:Z68"/>
    <mergeCell ref="C68:N68"/>
    <mergeCell ref="C69:N69"/>
    <mergeCell ref="O69:Z69"/>
    <mergeCell ref="AA69:AD69"/>
    <mergeCell ref="C1:AA1"/>
    <mergeCell ref="C2:AA3"/>
    <mergeCell ref="AB1:AD1"/>
    <mergeCell ref="AB2:AD2"/>
    <mergeCell ref="AB3:AD3"/>
  </mergeCells>
  <conditionalFormatting sqref="C48:C49 E48:E49 G48:G49 K48:K49 O48:O49 S48:S49 W48:W49 I48:I49 M48:M49 Q48:Q49 U48:U49 Y48:Y49 AB13:AC15 AB17:AC17 AB35:AC42 AB20:AC28 AB30:AC32 C13:Z33 C35:Z42 C34:D34 G34:J34 M34:Z34">
    <cfRule type="cellIs" dxfId="63" priority="411" operator="between">
      <formula>1</formula>
      <formula>9</formula>
    </cfRule>
    <cfRule type="cellIs" dxfId="62" priority="412" stopIfTrue="1" operator="equal">
      <formula>0</formula>
    </cfRule>
    <cfRule type="cellIs" dxfId="61" priority="413" stopIfTrue="1" operator="equal">
      <formula>0</formula>
    </cfRule>
    <cfRule type="cellIs" dxfId="60" priority="414" stopIfTrue="1" operator="equal">
      <formula>0</formula>
    </cfRule>
    <cfRule type="cellIs" dxfId="59" priority="415" stopIfTrue="1" operator="equal">
      <formula>0</formula>
    </cfRule>
    <cfRule type="cellIs" dxfId="58" priority="416" stopIfTrue="1" operator="equal">
      <formula>1</formula>
    </cfRule>
  </conditionalFormatting>
  <conditionalFormatting sqref="C48:C49 E48:E49 G48:G49 K48:K49 O48:O49 S48:S49 W48:W49 I48:I49 M48:M49 Q48:Q49 U48:U49 Y48:Y49 AB13:AC15 AB17:AC17 AB35:AC42 AB20:AC28 AB30:AC32 C13:Z33 C35:Z42 C34:D34 G34:J34 M34:Z34">
    <cfRule type="cellIs" dxfId="57" priority="410" operator="equal">
      <formula>0</formula>
    </cfRule>
  </conditionalFormatting>
  <conditionalFormatting sqref="C48:C49 E48:E49 G48:G49 K48:K49 O48:O49 S48:S49 W48:W49 I48:I49 M48:M49 Q48:Q49 U48:U49 Y48:Y49 AB13:AC15 AB17:AC17 AB35:AC42 AB20:AC28 AB30:AC32 C13:Z33 C35:Z42 C34:D34 G34:J34 M34:Z34">
    <cfRule type="cellIs" dxfId="56" priority="409" stopIfTrue="1" operator="equal">
      <formula>0</formula>
    </cfRule>
  </conditionalFormatting>
  <conditionalFormatting sqref="AB16:AC16">
    <cfRule type="cellIs" dxfId="55" priority="51" operator="between">
      <formula>1</formula>
      <formula>9</formula>
    </cfRule>
    <cfRule type="cellIs" dxfId="54" priority="52" stopIfTrue="1" operator="equal">
      <formula>0</formula>
    </cfRule>
    <cfRule type="cellIs" dxfId="53" priority="53" stopIfTrue="1" operator="equal">
      <formula>0</formula>
    </cfRule>
    <cfRule type="cellIs" dxfId="52" priority="54" stopIfTrue="1" operator="equal">
      <formula>0</formula>
    </cfRule>
    <cfRule type="cellIs" dxfId="51" priority="55" stopIfTrue="1" operator="equal">
      <formula>0</formula>
    </cfRule>
    <cfRule type="cellIs" dxfId="50" priority="56" stopIfTrue="1" operator="equal">
      <formula>1</formula>
    </cfRule>
  </conditionalFormatting>
  <conditionalFormatting sqref="AB16:AC16">
    <cfRule type="cellIs" dxfId="49" priority="50" operator="equal">
      <formula>0</formula>
    </cfRule>
  </conditionalFormatting>
  <conditionalFormatting sqref="AB16:AC16">
    <cfRule type="cellIs" dxfId="48" priority="49" stopIfTrue="1" operator="equal">
      <formula>0</formula>
    </cfRule>
  </conditionalFormatting>
  <conditionalFormatting sqref="AB18:AC19">
    <cfRule type="cellIs" dxfId="47" priority="43" operator="between">
      <formula>1</formula>
      <formula>9</formula>
    </cfRule>
    <cfRule type="cellIs" dxfId="46" priority="44" stopIfTrue="1" operator="equal">
      <formula>0</formula>
    </cfRule>
    <cfRule type="cellIs" dxfId="45" priority="45" stopIfTrue="1" operator="equal">
      <formula>0</formula>
    </cfRule>
    <cfRule type="cellIs" dxfId="44" priority="46" stopIfTrue="1" operator="equal">
      <formula>0</formula>
    </cfRule>
    <cfRule type="cellIs" dxfId="43" priority="47" stopIfTrue="1" operator="equal">
      <formula>0</formula>
    </cfRule>
    <cfRule type="cellIs" dxfId="42" priority="48" stopIfTrue="1" operator="equal">
      <formula>1</formula>
    </cfRule>
  </conditionalFormatting>
  <conditionalFormatting sqref="AB18:AC19">
    <cfRule type="cellIs" dxfId="41" priority="42" operator="equal">
      <formula>0</formula>
    </cfRule>
  </conditionalFormatting>
  <conditionalFormatting sqref="AB18:AC19">
    <cfRule type="cellIs" dxfId="40" priority="41" stopIfTrue="1" operator="equal">
      <formula>0</formula>
    </cfRule>
  </conditionalFormatting>
  <conditionalFormatting sqref="AB33:AC33">
    <cfRule type="cellIs" dxfId="39" priority="35" operator="between">
      <formula>1</formula>
      <formula>9</formula>
    </cfRule>
    <cfRule type="cellIs" dxfId="38" priority="36" stopIfTrue="1" operator="equal">
      <formula>0</formula>
    </cfRule>
    <cfRule type="cellIs" dxfId="37" priority="37" stopIfTrue="1" operator="equal">
      <formula>0</formula>
    </cfRule>
    <cfRule type="cellIs" dxfId="36" priority="38" stopIfTrue="1" operator="equal">
      <formula>0</formula>
    </cfRule>
    <cfRule type="cellIs" dxfId="35" priority="39" stopIfTrue="1" operator="equal">
      <formula>0</formula>
    </cfRule>
    <cfRule type="cellIs" dxfId="34" priority="40" stopIfTrue="1" operator="equal">
      <formula>1</formula>
    </cfRule>
  </conditionalFormatting>
  <conditionalFormatting sqref="AB33:AC33">
    <cfRule type="cellIs" dxfId="33" priority="34" operator="equal">
      <formula>0</formula>
    </cfRule>
  </conditionalFormatting>
  <conditionalFormatting sqref="AB33:AC33">
    <cfRule type="cellIs" dxfId="32" priority="33" stopIfTrue="1" operator="equal">
      <formula>0</formula>
    </cfRule>
  </conditionalFormatting>
  <conditionalFormatting sqref="AB34:AC34">
    <cfRule type="cellIs" dxfId="31" priority="27" operator="between">
      <formula>1</formula>
      <formula>9</formula>
    </cfRule>
    <cfRule type="cellIs" dxfId="30" priority="28" stopIfTrue="1" operator="equal">
      <formula>0</formula>
    </cfRule>
    <cfRule type="cellIs" dxfId="29" priority="29" stopIfTrue="1" operator="equal">
      <formula>0</formula>
    </cfRule>
    <cfRule type="cellIs" dxfId="28" priority="30" stopIfTrue="1" operator="equal">
      <formula>0</formula>
    </cfRule>
    <cfRule type="cellIs" dxfId="27" priority="31" stopIfTrue="1" operator="equal">
      <formula>0</formula>
    </cfRule>
    <cfRule type="cellIs" dxfId="26" priority="32" stopIfTrue="1" operator="equal">
      <formula>1</formula>
    </cfRule>
  </conditionalFormatting>
  <conditionalFormatting sqref="AB34:AC34">
    <cfRule type="cellIs" dxfId="25" priority="26" operator="equal">
      <formula>0</formula>
    </cfRule>
  </conditionalFormatting>
  <conditionalFormatting sqref="AB34:AC34">
    <cfRule type="cellIs" dxfId="24" priority="25" stopIfTrue="1" operator="equal">
      <formula>0</formula>
    </cfRule>
  </conditionalFormatting>
  <conditionalFormatting sqref="AB29:AC29">
    <cfRule type="cellIs" dxfId="23" priority="19" operator="between">
      <formula>1</formula>
      <formula>9</formula>
    </cfRule>
    <cfRule type="cellIs" dxfId="22" priority="20" stopIfTrue="1" operator="equal">
      <formula>0</formula>
    </cfRule>
    <cfRule type="cellIs" dxfId="21" priority="21" stopIfTrue="1" operator="equal">
      <formula>0</formula>
    </cfRule>
    <cfRule type="cellIs" dxfId="20" priority="22" stopIfTrue="1" operator="equal">
      <formula>0</formula>
    </cfRule>
    <cfRule type="cellIs" dxfId="19" priority="23" stopIfTrue="1" operator="equal">
      <formula>0</formula>
    </cfRule>
    <cfRule type="cellIs" dxfId="18" priority="24" stopIfTrue="1" operator="equal">
      <formula>1</formula>
    </cfRule>
  </conditionalFormatting>
  <conditionalFormatting sqref="AB29:AC29">
    <cfRule type="cellIs" dxfId="17" priority="18" operator="equal">
      <formula>0</formula>
    </cfRule>
  </conditionalFormatting>
  <conditionalFormatting sqref="AB29:AC29">
    <cfRule type="cellIs" dxfId="16" priority="17" stopIfTrue="1" operator="equal">
      <formula>0</formula>
    </cfRule>
  </conditionalFormatting>
  <conditionalFormatting sqref="E34:F34">
    <cfRule type="cellIs" dxfId="15" priority="11" operator="between">
      <formula>1</formula>
      <formula>9</formula>
    </cfRule>
    <cfRule type="cellIs" dxfId="14" priority="12" stopIfTrue="1" operator="equal">
      <formula>0</formula>
    </cfRule>
    <cfRule type="cellIs" dxfId="13" priority="13" stopIfTrue="1" operator="equal">
      <formula>0</formula>
    </cfRule>
    <cfRule type="cellIs" dxfId="12" priority="14" stopIfTrue="1" operator="equal">
      <formula>0</formula>
    </cfRule>
    <cfRule type="cellIs" dxfId="11" priority="15" stopIfTrue="1" operator="equal">
      <formula>0</formula>
    </cfRule>
    <cfRule type="cellIs" dxfId="10" priority="16" stopIfTrue="1" operator="equal">
      <formula>1</formula>
    </cfRule>
  </conditionalFormatting>
  <conditionalFormatting sqref="E34:F34">
    <cfRule type="cellIs" dxfId="9" priority="10" operator="equal">
      <formula>0</formula>
    </cfRule>
  </conditionalFormatting>
  <conditionalFormatting sqref="E34:F34">
    <cfRule type="cellIs" dxfId="8" priority="9" stopIfTrue="1" operator="equal">
      <formula>0</formula>
    </cfRule>
  </conditionalFormatting>
  <conditionalFormatting sqref="K34:L34">
    <cfRule type="cellIs" dxfId="7" priority="3" operator="between">
      <formula>1</formula>
      <formula>9</formula>
    </cfRule>
    <cfRule type="cellIs" dxfId="6" priority="4" stopIfTrue="1" operator="equal">
      <formula>0</formula>
    </cfRule>
    <cfRule type="cellIs" dxfId="5" priority="5" stopIfTrue="1" operator="equal">
      <formula>0</formula>
    </cfRule>
    <cfRule type="cellIs" dxfId="4" priority="6" stopIfTrue="1" operator="equal">
      <formula>0</formula>
    </cfRule>
    <cfRule type="cellIs" dxfId="3" priority="7" stopIfTrue="1" operator="equal">
      <formula>0</formula>
    </cfRule>
    <cfRule type="cellIs" dxfId="2" priority="8" stopIfTrue="1" operator="equal">
      <formula>1</formula>
    </cfRule>
  </conditionalFormatting>
  <conditionalFormatting sqref="K34:L34">
    <cfRule type="cellIs" dxfId="1" priority="2" operator="equal">
      <formula>0</formula>
    </cfRule>
  </conditionalFormatting>
  <conditionalFormatting sqref="K34:L34">
    <cfRule type="cellIs" dxfId="0" priority="1" stopIfTrue="1" operator="equal">
      <formula>0</formula>
    </cfRule>
  </conditionalFormatting>
  <printOptions horizontalCentered="1"/>
  <pageMargins left="0.39370078740157483" right="0.39370078740157483" top="0.59055118110236227" bottom="0.59055118110236227" header="0" footer="0"/>
  <pageSetup scale="45" fitToHeight="2" orientation="portrait" r:id="rId1"/>
  <headerFooter alignWithMargins="0"/>
  <rowBreaks count="1" manualBreakCount="1">
    <brk id="35" max="29" man="1"/>
  </rowBreaks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1</vt:i4>
      </vt:variant>
      <vt:variant>
        <vt:lpstr>Rangos con nombre</vt:lpstr>
      </vt:variant>
      <vt:variant>
        <vt:i4>2</vt:i4>
      </vt:variant>
    </vt:vector>
  </HeadingPairs>
  <TitlesOfParts>
    <vt:vector size="3" baseType="lpstr">
      <vt:lpstr> Plan de Trabajo SST</vt:lpstr>
      <vt:lpstr>' Plan de Trabajo SST'!Área_de_impresión</vt:lpstr>
      <vt:lpstr>' Plan de Trabajo SST'!Títulos_a_imprimir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USUARIO</dc:creator>
  <cp:lastModifiedBy>usuario</cp:lastModifiedBy>
  <cp:lastPrinted>2023-02-11T19:49:14Z</cp:lastPrinted>
  <dcterms:created xsi:type="dcterms:W3CDTF">2008-10-02T15:12:04Z</dcterms:created>
  <dcterms:modified xsi:type="dcterms:W3CDTF">2023-08-12T17:09:05Z</dcterms:modified>
</cp:coreProperties>
</file>