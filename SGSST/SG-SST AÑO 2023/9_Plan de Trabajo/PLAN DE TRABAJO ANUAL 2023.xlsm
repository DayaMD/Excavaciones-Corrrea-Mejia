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GitHub\Excavaciones-Corrrea-Mejia\SGSST\SG-SST AÑO 2023\11_Plan de Trabajo\"/>
    </mc:Choice>
  </mc:AlternateContent>
  <xr:revisionPtr revIDLastSave="0" documentId="13_ncr:1_{AEEFDFAD-C608-4AB0-8E94-D450AB494939}" xr6:coauthVersionLast="43" xr6:coauthVersionMax="43" xr10:uidLastSave="{00000000-0000-0000-0000-000000000000}"/>
  <bookViews>
    <workbookView xWindow="-120" yWindow="-120" windowWidth="20730" windowHeight="11160" tabRatio="584" xr2:uid="{00000000-000D-0000-FFFF-FFFF00000000}"/>
  </bookViews>
  <sheets>
    <sheet name=" Plan de Trabajo SST" sheetId="5" r:id="rId1"/>
  </sheets>
  <definedNames>
    <definedName name="_xlnm._FilterDatabase" localSheetId="0" hidden="1">' Plan de Trabajo SST'!$A$11:$AF$44</definedName>
    <definedName name="_xlnm.Print_Area" localSheetId="0">' Plan de Trabajo SST'!$A$1:$AD$69</definedName>
    <definedName name="_xlnm.Print_Titles" localSheetId="0">' Plan de Trabajo SST'!$10:$12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2" i="5" l="1"/>
  <c r="K42" i="5"/>
  <c r="C47" i="5" l="1"/>
  <c r="Z42" i="5"/>
  <c r="Z47" i="5" s="1"/>
  <c r="Y42" i="5"/>
  <c r="Y47" i="5" s="1"/>
  <c r="X42" i="5"/>
  <c r="X47" i="5" s="1"/>
  <c r="W42" i="5"/>
  <c r="W47" i="5" s="1"/>
  <c r="V42" i="5"/>
  <c r="V47" i="5" s="1"/>
  <c r="U42" i="5"/>
  <c r="U47" i="5" s="1"/>
  <c r="T42" i="5"/>
  <c r="T47" i="5" s="1"/>
  <c r="S42" i="5"/>
  <c r="S47" i="5" s="1"/>
  <c r="R42" i="5"/>
  <c r="R47" i="5" s="1"/>
  <c r="Q42" i="5"/>
  <c r="Q47" i="5" s="1"/>
  <c r="P42" i="5"/>
  <c r="P47" i="5" s="1"/>
  <c r="O42" i="5"/>
  <c r="O47" i="5" s="1"/>
  <c r="N42" i="5"/>
  <c r="N47" i="5" s="1"/>
  <c r="M42" i="5"/>
  <c r="M47" i="5" s="1"/>
  <c r="L42" i="5"/>
  <c r="L47" i="5" s="1"/>
  <c r="K47" i="5"/>
  <c r="J42" i="5"/>
  <c r="J47" i="5" s="1"/>
  <c r="I42" i="5"/>
  <c r="I47" i="5" s="1"/>
  <c r="H42" i="5"/>
  <c r="H47" i="5" s="1"/>
  <c r="G42" i="5"/>
  <c r="G47" i="5" s="1"/>
  <c r="F42" i="5"/>
  <c r="F47" i="5" s="1"/>
  <c r="E42" i="5"/>
  <c r="E47" i="5" s="1"/>
  <c r="D42" i="5"/>
  <c r="D47" i="5" s="1"/>
  <c r="G48" i="5" l="1"/>
  <c r="O48" i="5"/>
  <c r="E48" i="5"/>
  <c r="K48" i="5"/>
  <c r="Q48" i="5"/>
  <c r="W48" i="5"/>
  <c r="S48" i="5"/>
  <c r="Y48" i="5"/>
  <c r="U48" i="5"/>
  <c r="I48" i="5"/>
  <c r="M48" i="5"/>
  <c r="AB47" i="5"/>
  <c r="C48" i="5"/>
  <c r="AA47" i="5"/>
  <c r="AD47" i="5" l="1"/>
</calcChain>
</file>

<file path=xl/sharedStrings.xml><?xml version="1.0" encoding="utf-8"?>
<sst xmlns="http://schemas.openxmlformats.org/spreadsheetml/2006/main" count="188" uniqueCount="115">
  <si>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</si>
  <si>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</si>
  <si>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</si>
  <si>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</si>
  <si>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</si>
  <si>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</si>
  <si>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</si>
  <si>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</si>
  <si>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</si>
  <si>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</si>
  <si>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</si>
  <si>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</si>
  <si>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</si>
  <si>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</si>
  <si>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</si>
  <si>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</si>
  <si>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</si>
  <si>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</si>
  <si>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</si>
  <si>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</si>
  <si>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</si>
  <si>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</si>
  <si>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</si>
  <si>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</si>
  <si>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</si>
  <si>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</si>
  <si>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</si>
  <si>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</si>
  <si>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</si>
  <si>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</si>
  <si>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</si>
  <si>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</si>
  <si>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</si>
  <si>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</si>
  <si>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</si>
  <si>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</si>
  <si>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</si>
  <si>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</si>
  <si>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</si>
  <si>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</si>
  <si>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</si>
  <si>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</si>
  <si>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</si>
  <si>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</si>
  <si>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</si>
  <si>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</si>
  <si>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</si>
  <si>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</si>
  <si>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</si>
  <si>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</si>
  <si>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</si>
  <si>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</si>
  <si>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</si>
  <si>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</si>
  <si>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</si>
  <si>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</si>
  <si>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</si>
  <si>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</si>
  <si>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</si>
  <si>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</si>
  <si>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</si>
  <si>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</si>
  <si>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</si>
  <si>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</si>
  <si>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</si>
  <si>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</si>
  <si>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</si>
  <si>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</si>
  <si>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</si>
  <si>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</si>
  <si>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</si>
  <si>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</si>
  <si>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</si>
  <si>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</si>
  <si>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</si>
  <si>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</si>
  <si>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</si>
  <si>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</si>
  <si>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</si>
  <si>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</si>
  <si>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</si>
  <si>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</si>
  <si>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</si>
  <si>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</si>
  <si>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</si>
  <si>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</si>
  <si>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</si>
  <si>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</si>
  <si>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</si>
  <si>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</si>
  <si>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</si>
  <si>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Programar reuniones de COPASST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</si>
  <si>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</si>
  <si>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</si>
  <si>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</si>
  <si>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</si>
  <si>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</si>
  <si>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</si>
  <si>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</si>
  <si>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</si>
  <si>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ENERO - DICIEMBRE DEL AÑO 2023</t>
  </si>
  <si>
    <t>Elaboración Plan de Trabajo para el año 2023</t>
  </si>
  <si>
    <t>29 de diciembre del 2022</t>
  </si>
  <si>
    <t xml:space="preserve">Socializar Plan de trabajo vigencia 2023 al COPASST </t>
  </si>
  <si>
    <t>Realizar cronograma de capacitación para la vigencia año 2023</t>
  </si>
  <si>
    <t xml:space="preserve">Realizar reinducción a los trabajadores </t>
  </si>
  <si>
    <t>Programar curso de 50 horas de SST al COPASST</t>
  </si>
  <si>
    <t>Realizar matriz de retencion documental del SG-SST</t>
  </si>
  <si>
    <t>Realizar evaluación de proveedores</t>
  </si>
  <si>
    <t>Solicitar al proveedor de examenes medicos ocupacionales certificado de custodia de historias clinicas</t>
  </si>
  <si>
    <t>Evaluar si aplica en la empresa, la realizacion de mediciones ambientales, quimicos, fisicos y biologicos</t>
  </si>
  <si>
    <t>Responsable del SG-SST</t>
  </si>
  <si>
    <t>X</t>
  </si>
  <si>
    <t>Elaboración del presupuesto anual vigencia 2023</t>
  </si>
  <si>
    <t>La politica se encontraba programada para el mes de enero sin embargo fue revisada en conjunto con el COPASST en la reunion del mes de marzo.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</si>
</sst>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* #,##0.00_-;\-[$€-2]* #,##0.00_-;_-[$€-2]* &quot;-&quot;??_-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4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20" fillId="0" borderId="26" xfId="0" applyFont="1" applyFill="1" applyBorder="1" applyAlignment="1">
      <alignment horizontal="left" vertical="center" wrapText="1"/>
    </xf>
    <xf numFmtId="0" fontId="25" fillId="0" borderId="21" xfId="0" applyFont="1" applyFill="1" applyBorder="1" applyAlignment="1">
      <alignment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 textRotation="9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 xr:uid="{00000000-0005-0000-0000-00001B000000}"/>
    <cellStyle name="Incorrecto" xfId="29" builtinId="27" customBuiltin="1"/>
    <cellStyle name="Neutral" xfId="30" builtinId="28" customBuiltin="1"/>
    <cellStyle name="Normal" xfId="0" builtinId="0"/>
    <cellStyle name="Normal 2" xfId="31" xr:uid="{00000000-0005-0000-0000-00001F000000}"/>
    <cellStyle name="Normal 3" xfId="32" xr:uid="{00000000-0005-0000-0000-000020000000}"/>
    <cellStyle name="Porcentaje" xfId="33" builtinId="5"/>
    <cellStyle name="Porcentual 2" xfId="34" xr:uid="{00000000-0005-0000-0000-000022000000}"/>
    <cellStyle name="Salida" xfId="35" builtinId="21" customBuiltin="1"/>
    <cellStyle name="Título" xfId="36" builtinId="15" customBuiltin="1"/>
    <cellStyle name="Total" xfId="37" builtinId="25" customBuiltin="1"/>
  </cellStyles>
  <dxfs count="64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SST'!$C$48:$Z$48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0.75</c:v>
                </c:pt>
                <c:pt idx="6">
                  <c:v>1</c:v>
                </c:pt>
                <c:pt idx="8">
                  <c:v>0.66666666666666663</c:v>
                </c:pt>
                <c:pt idx="10">
                  <c:v>9.0909090909090912E-2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SST'!$C$49:$Z$49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SST'!$AD$47</c:f>
              <c:numCache>
                <c:formatCode>0%</c:formatCode>
                <c:ptCount val="1"/>
                <c:pt idx="0">
                  <c:v>0.34042553191489361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SST'!$AD$49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50</xdr:row>
      <xdr:rowOff>0</xdr:rowOff>
    </xdr:from>
    <xdr:to>
      <xdr:col>16</xdr:col>
      <xdr:colOff>209550</xdr:colOff>
      <xdr:row>66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50</xdr:row>
      <xdr:rowOff>9525</xdr:rowOff>
    </xdr:from>
    <xdr:to>
      <xdr:col>29</xdr:col>
      <xdr:colOff>1533525</xdr:colOff>
      <xdr:row>66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  <pageSetUpPr fitToPage="1"/>
  </sheetPr>
  <dimension ref="A1:AF69"/>
  <sheetViews>
    <sheetView showGridLines="0" tabSelected="1" topLeftCell="A43" zoomScaleNormal="100" zoomScaleSheetLayoutView="55" zoomScalePageLayoutView="60" workbookViewId="0">
      <selection activeCell="A44" sqref="A44:AD49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5.140625" style="1" customWidth="1"/>
    <col min="31" max="16384" width="11.42578125" style="1"/>
  </cols>
  <sheetData>
    <row r="1" spans="1:32" ht="44.25" customHeight="1" thickBot="1" x14ac:dyDescent="0.25">
      <c r="A1" s="107"/>
      <c r="B1" s="107"/>
      <c r="C1" s="34" t="s">
        <v>84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6" t="s">
        <v>85</v>
      </c>
      <c r="AC1" s="36"/>
      <c r="AD1" s="36"/>
    </row>
    <row r="2" spans="1:32" ht="44.25" customHeight="1" thickBot="1" x14ac:dyDescent="0.25">
      <c r="A2" s="107"/>
      <c r="B2" s="107"/>
      <c r="C2" s="35" t="s">
        <v>49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6" t="s">
        <v>86</v>
      </c>
      <c r="AC2" s="36"/>
      <c r="AD2" s="36"/>
    </row>
    <row r="3" spans="1:32" ht="44.25" customHeight="1" thickBot="1" x14ac:dyDescent="0.25">
      <c r="A3" s="107"/>
      <c r="B3" s="107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6" t="s">
        <v>90</v>
      </c>
      <c r="AC3" s="36"/>
      <c r="AD3" s="36"/>
    </row>
    <row r="4" spans="1:32" ht="17.25" customHeight="1" thickBot="1" x14ac:dyDescent="0.25">
      <c r="A4" s="88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90"/>
      <c r="AF4" s="31"/>
    </row>
    <row r="5" spans="1:32" ht="21" customHeight="1" thickBot="1" x14ac:dyDescent="0.25">
      <c r="A5" s="63" t="s">
        <v>0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5"/>
    </row>
    <row r="6" spans="1:32" ht="85.5" customHeight="1" thickBot="1" x14ac:dyDescent="0.25">
      <c r="A6" s="91" t="s">
        <v>72</v>
      </c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3"/>
    </row>
    <row r="7" spans="1:32" ht="24" customHeight="1" thickBot="1" x14ac:dyDescent="0.25">
      <c r="A7" s="63" t="s">
        <v>5</v>
      </c>
      <c r="B7" s="64"/>
      <c r="C7" s="64"/>
      <c r="D7" s="64"/>
      <c r="E7" s="64"/>
      <c r="F7" s="65"/>
      <c r="G7" s="63" t="s">
        <v>1</v>
      </c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5"/>
      <c r="Y7" s="63" t="s">
        <v>52</v>
      </c>
      <c r="Z7" s="64"/>
      <c r="AA7" s="64"/>
      <c r="AB7" s="64"/>
      <c r="AC7" s="64"/>
      <c r="AD7" s="65"/>
    </row>
    <row r="8" spans="1:32" ht="56.25" customHeight="1" thickBot="1" x14ac:dyDescent="0.25">
      <c r="A8" s="66" t="s">
        <v>41</v>
      </c>
      <c r="B8" s="67"/>
      <c r="C8" s="67"/>
      <c r="D8" s="67"/>
      <c r="E8" s="67"/>
      <c r="F8" s="68"/>
      <c r="G8" s="66" t="s">
        <v>6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8"/>
      <c r="Y8" s="119" t="s">
        <v>100</v>
      </c>
      <c r="Z8" s="120"/>
      <c r="AA8" s="120"/>
      <c r="AB8" s="120"/>
      <c r="AC8" s="120"/>
      <c r="AD8" s="121"/>
    </row>
    <row r="9" spans="1:32" s="2" customFormat="1" ht="24" customHeight="1" thickBot="1" x14ac:dyDescent="0.25">
      <c r="A9" s="108"/>
      <c r="B9" s="109"/>
      <c r="C9" s="109"/>
      <c r="D9" s="109"/>
      <c r="E9" s="109"/>
      <c r="F9" s="109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1"/>
    </row>
    <row r="10" spans="1:32" ht="18" customHeight="1" x14ac:dyDescent="0.2">
      <c r="A10" s="112" t="s">
        <v>37</v>
      </c>
      <c r="B10" s="116" t="s">
        <v>38</v>
      </c>
      <c r="C10" s="98" t="s">
        <v>53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 t="s">
        <v>8</v>
      </c>
      <c r="AB10" s="98" t="s">
        <v>30</v>
      </c>
      <c r="AC10" s="98"/>
      <c r="AD10" s="101" t="s">
        <v>9</v>
      </c>
    </row>
    <row r="11" spans="1:32" ht="37.5" customHeight="1" x14ac:dyDescent="0.2">
      <c r="A11" s="113"/>
      <c r="B11" s="117"/>
      <c r="C11" s="96" t="s">
        <v>17</v>
      </c>
      <c r="D11" s="97"/>
      <c r="E11" s="96" t="s">
        <v>18</v>
      </c>
      <c r="F11" s="97"/>
      <c r="G11" s="96" t="s">
        <v>19</v>
      </c>
      <c r="H11" s="97"/>
      <c r="I11" s="96" t="s">
        <v>20</v>
      </c>
      <c r="J11" s="97"/>
      <c r="K11" s="96" t="s">
        <v>21</v>
      </c>
      <c r="L11" s="97"/>
      <c r="M11" s="96" t="s">
        <v>22</v>
      </c>
      <c r="N11" s="97"/>
      <c r="O11" s="96" t="s">
        <v>12</v>
      </c>
      <c r="P11" s="97"/>
      <c r="Q11" s="96" t="s">
        <v>13</v>
      </c>
      <c r="R11" s="97"/>
      <c r="S11" s="96" t="s">
        <v>14</v>
      </c>
      <c r="T11" s="97"/>
      <c r="U11" s="96" t="s">
        <v>15</v>
      </c>
      <c r="V11" s="97"/>
      <c r="W11" s="96" t="s">
        <v>16</v>
      </c>
      <c r="X11" s="97"/>
      <c r="Y11" s="96" t="s">
        <v>23</v>
      </c>
      <c r="Z11" s="97"/>
      <c r="AA11" s="99"/>
      <c r="AB11" s="79" t="s">
        <v>34</v>
      </c>
      <c r="AC11" s="79" t="s">
        <v>31</v>
      </c>
      <c r="AD11" s="102"/>
    </row>
    <row r="12" spans="1:32" ht="30" customHeight="1" x14ac:dyDescent="0.2">
      <c r="A12" s="114"/>
      <c r="B12" s="118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99"/>
      <c r="AB12" s="79"/>
      <c r="AC12" s="79"/>
      <c r="AD12" s="102"/>
    </row>
    <row r="13" spans="1:32" ht="51.75" customHeight="1" x14ac:dyDescent="0.2">
      <c r="A13" s="122" t="s">
        <v>33</v>
      </c>
      <c r="B13" s="27" t="s">
        <v>101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93</v>
      </c>
      <c r="AB13" s="6" t="s">
        <v>29</v>
      </c>
      <c r="AC13" s="6"/>
      <c r="AD13" s="8"/>
    </row>
    <row r="14" spans="1:32" ht="78.75" customHeight="1" x14ac:dyDescent="0.2">
      <c r="A14" s="123"/>
      <c r="B14" s="21" t="s">
        <v>73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94</v>
      </c>
      <c r="AB14" s="6" t="s">
        <v>29</v>
      </c>
      <c r="AC14" s="6"/>
      <c r="AD14" s="33" t="s">
        <v>114</v>
      </c>
      <c r="AE14" s="16"/>
    </row>
    <row r="15" spans="1:32" ht="82.5" customHeight="1" x14ac:dyDescent="0.2">
      <c r="A15" s="123"/>
      <c r="B15" s="21" t="s">
        <v>113</v>
      </c>
      <c r="C15" s="22"/>
      <c r="D15" s="22"/>
      <c r="E15" s="22">
        <v>1</v>
      </c>
      <c r="F15" s="22">
        <v>1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95</v>
      </c>
      <c r="AB15" s="6" t="s">
        <v>29</v>
      </c>
      <c r="AC15" s="6" t="s">
        <v>29</v>
      </c>
      <c r="AD15" s="9"/>
    </row>
    <row r="16" spans="1:32" ht="54.75" customHeight="1" x14ac:dyDescent="0.2">
      <c r="A16" s="123"/>
      <c r="B16" s="21" t="s">
        <v>91</v>
      </c>
      <c r="C16" s="22">
        <v>1</v>
      </c>
      <c r="D16" s="22">
        <v>1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 t="s">
        <v>50</v>
      </c>
      <c r="AB16" s="6" t="s">
        <v>29</v>
      </c>
      <c r="AC16" s="6"/>
      <c r="AD16" s="8" t="s">
        <v>98</v>
      </c>
    </row>
    <row r="17" spans="1:30" ht="51" customHeight="1" x14ac:dyDescent="0.2">
      <c r="A17" s="123"/>
      <c r="B17" s="21" t="s">
        <v>81</v>
      </c>
      <c r="C17" s="22"/>
      <c r="D17" s="22"/>
      <c r="E17" s="22">
        <v>1</v>
      </c>
      <c r="F17" s="22">
        <v>1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50</v>
      </c>
      <c r="AB17" s="6" t="s">
        <v>29</v>
      </c>
      <c r="AC17" s="6"/>
      <c r="AD17" s="8" t="s">
        <v>99</v>
      </c>
    </row>
    <row r="18" spans="1:30" ht="51" customHeight="1" x14ac:dyDescent="0.2">
      <c r="A18" s="123"/>
      <c r="B18" s="21" t="s">
        <v>104</v>
      </c>
      <c r="C18" s="22">
        <v>1</v>
      </c>
      <c r="D18" s="22">
        <v>1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50</v>
      </c>
      <c r="AB18" s="6" t="s">
        <v>29</v>
      </c>
      <c r="AC18" s="6"/>
      <c r="AD18" s="10" t="s">
        <v>76</v>
      </c>
    </row>
    <row r="19" spans="1:30" ht="51" customHeight="1" x14ac:dyDescent="0.2">
      <c r="A19" s="123"/>
      <c r="B19" s="21" t="s">
        <v>106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95</v>
      </c>
      <c r="AB19" s="6" t="s">
        <v>29</v>
      </c>
      <c r="AC19" s="6"/>
      <c r="AD19" s="10"/>
    </row>
    <row r="20" spans="1:30" ht="48.75" customHeight="1" x14ac:dyDescent="0.2">
      <c r="A20" s="123"/>
      <c r="B20" s="21" t="s">
        <v>75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50</v>
      </c>
      <c r="AB20" s="6" t="s">
        <v>29</v>
      </c>
      <c r="AC20" s="6"/>
      <c r="AD20" s="9"/>
    </row>
    <row r="21" spans="1:30" ht="62.25" customHeight="1" x14ac:dyDescent="0.2">
      <c r="A21" s="123"/>
      <c r="B21" s="21" t="s">
        <v>74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>
        <v>1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50</v>
      </c>
      <c r="AB21" s="6" t="s">
        <v>29</v>
      </c>
      <c r="AC21" s="6"/>
      <c r="AD21" s="9"/>
    </row>
    <row r="22" spans="1:30" ht="45" customHeight="1" x14ac:dyDescent="0.2">
      <c r="A22" s="123"/>
      <c r="B22" s="21" t="s">
        <v>42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>
        <v>1</v>
      </c>
      <c r="Z22" s="22"/>
      <c r="AA22" s="23" t="s">
        <v>51</v>
      </c>
      <c r="AB22" s="6" t="s">
        <v>29</v>
      </c>
      <c r="AC22" s="6"/>
      <c r="AD22" s="9"/>
    </row>
    <row r="23" spans="1:30" ht="72.75" customHeight="1" x14ac:dyDescent="0.2">
      <c r="A23" s="123"/>
      <c r="B23" s="21" t="s">
        <v>54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1</v>
      </c>
      <c r="R23" s="22"/>
      <c r="S23" s="22"/>
      <c r="T23" s="22"/>
      <c r="U23" s="22"/>
      <c r="V23" s="22"/>
      <c r="W23" s="22"/>
      <c r="X23" s="22"/>
      <c r="Y23" s="22"/>
      <c r="Z23" s="22"/>
      <c r="AA23" s="23" t="s">
        <v>96</v>
      </c>
      <c r="AB23" s="6" t="s">
        <v>29</v>
      </c>
      <c r="AC23" s="6"/>
      <c r="AD23" s="9"/>
    </row>
    <row r="24" spans="1:30" ht="72.75" customHeight="1" x14ac:dyDescent="0.2">
      <c r="A24" s="123"/>
      <c r="B24" s="21" t="s">
        <v>107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>
        <v>1</v>
      </c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 t="s">
        <v>51</v>
      </c>
      <c r="AB24" s="6" t="s">
        <v>112</v>
      </c>
      <c r="AC24" s="6"/>
      <c r="AD24" s="9"/>
    </row>
    <row r="25" spans="1:30" ht="72.75" customHeight="1" x14ac:dyDescent="0.2">
      <c r="A25" s="123"/>
      <c r="B25" s="21" t="s">
        <v>108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>
        <v>1</v>
      </c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 t="s">
        <v>40</v>
      </c>
      <c r="AB25" s="6" t="s">
        <v>29</v>
      </c>
      <c r="AC25" s="6"/>
      <c r="AD25" s="9"/>
    </row>
    <row r="26" spans="1:30" ht="46.5" customHeight="1" x14ac:dyDescent="0.2">
      <c r="A26" s="123"/>
      <c r="B26" s="21" t="s">
        <v>55</v>
      </c>
      <c r="C26" s="22"/>
      <c r="D26" s="22"/>
      <c r="E26" s="22"/>
      <c r="F26" s="22"/>
      <c r="G26" s="22"/>
      <c r="H26" s="22"/>
      <c r="I26" s="22">
        <v>1</v>
      </c>
      <c r="J26" s="22">
        <v>1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>
        <v>1</v>
      </c>
      <c r="V26" s="22"/>
      <c r="W26" s="22"/>
      <c r="X26" s="22"/>
      <c r="Y26" s="22"/>
      <c r="Z26" s="22"/>
      <c r="AA26" s="23" t="s">
        <v>93</v>
      </c>
      <c r="AB26" s="6" t="s">
        <v>29</v>
      </c>
      <c r="AC26" s="6"/>
      <c r="AD26" s="9"/>
    </row>
    <row r="27" spans="1:30" ht="46.5" customHeight="1" x14ac:dyDescent="0.2">
      <c r="A27" s="123"/>
      <c r="B27" s="21" t="s">
        <v>77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93</v>
      </c>
      <c r="AB27" s="6" t="s">
        <v>29</v>
      </c>
      <c r="AC27" s="6"/>
      <c r="AD27" s="9"/>
    </row>
    <row r="28" spans="1:30" ht="68.25" customHeight="1" x14ac:dyDescent="0.2">
      <c r="A28" s="115" t="s">
        <v>27</v>
      </c>
      <c r="B28" s="21" t="s">
        <v>56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>
        <v>1</v>
      </c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 t="s">
        <v>97</v>
      </c>
      <c r="AB28" s="6" t="s">
        <v>29</v>
      </c>
      <c r="AC28" s="6" t="s">
        <v>29</v>
      </c>
      <c r="AD28" s="9"/>
    </row>
    <row r="29" spans="1:30" ht="68.25" customHeight="1" x14ac:dyDescent="0.2">
      <c r="A29" s="115"/>
      <c r="B29" s="21" t="s">
        <v>109</v>
      </c>
      <c r="C29" s="22"/>
      <c r="D29" s="22"/>
      <c r="E29" s="22"/>
      <c r="F29" s="22"/>
      <c r="G29" s="22">
        <v>1</v>
      </c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 t="s">
        <v>97</v>
      </c>
      <c r="AB29" s="6" t="s">
        <v>29</v>
      </c>
      <c r="AC29" s="6" t="s">
        <v>29</v>
      </c>
      <c r="AD29" s="9"/>
    </row>
    <row r="30" spans="1:30" ht="68.25" customHeight="1" x14ac:dyDescent="0.2">
      <c r="A30" s="115"/>
      <c r="B30" s="21" t="s">
        <v>105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 t="s">
        <v>111</v>
      </c>
      <c r="AB30" s="6" t="s">
        <v>29</v>
      </c>
      <c r="AC30" s="6"/>
      <c r="AD30" s="9"/>
    </row>
    <row r="31" spans="1:30" ht="68.25" customHeight="1" x14ac:dyDescent="0.2">
      <c r="A31" s="115"/>
      <c r="B31" s="21" t="s">
        <v>110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 t="s">
        <v>40</v>
      </c>
      <c r="AB31" s="6" t="s">
        <v>29</v>
      </c>
      <c r="AC31" s="6" t="s">
        <v>29</v>
      </c>
      <c r="AD31" s="9"/>
    </row>
    <row r="32" spans="1:30" ht="68.25" customHeight="1" x14ac:dyDescent="0.2">
      <c r="A32" s="115"/>
      <c r="B32" s="21" t="s">
        <v>103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97</v>
      </c>
      <c r="AB32" s="6" t="s">
        <v>29</v>
      </c>
      <c r="AC32" s="6"/>
      <c r="AD32" s="9"/>
    </row>
    <row r="33" spans="1:30" ht="68.25" customHeight="1" x14ac:dyDescent="0.2">
      <c r="A33" s="115"/>
      <c r="B33" s="21" t="s">
        <v>92</v>
      </c>
      <c r="C33" s="22">
        <v>1</v>
      </c>
      <c r="D33" s="22">
        <v>1</v>
      </c>
      <c r="E33" s="22">
        <v>1</v>
      </c>
      <c r="F33" s="22">
        <v>1</v>
      </c>
      <c r="G33" s="22">
        <v>1</v>
      </c>
      <c r="H33" s="22">
        <v>1</v>
      </c>
      <c r="I33" s="22">
        <v>1</v>
      </c>
      <c r="J33" s="22">
        <v>1</v>
      </c>
      <c r="K33" s="22">
        <v>1</v>
      </c>
      <c r="L33" s="22">
        <v>1</v>
      </c>
      <c r="M33" s="22">
        <v>1</v>
      </c>
      <c r="N33" s="22"/>
      <c r="O33" s="22">
        <v>1</v>
      </c>
      <c r="P33" s="22"/>
      <c r="Q33" s="22">
        <v>1</v>
      </c>
      <c r="R33" s="22"/>
      <c r="S33" s="22">
        <v>1</v>
      </c>
      <c r="T33" s="22"/>
      <c r="U33" s="22">
        <v>1</v>
      </c>
      <c r="V33" s="22"/>
      <c r="W33" s="22">
        <v>1</v>
      </c>
      <c r="X33" s="22"/>
      <c r="Y33" s="22">
        <v>1</v>
      </c>
      <c r="Z33" s="22"/>
      <c r="AA33" s="23" t="s">
        <v>93</v>
      </c>
      <c r="AB33" s="6" t="s">
        <v>29</v>
      </c>
      <c r="AC33" s="6"/>
      <c r="AD33" s="8"/>
    </row>
    <row r="34" spans="1:30" ht="68.25" customHeight="1" x14ac:dyDescent="0.2">
      <c r="A34" s="115"/>
      <c r="B34" s="21" t="s">
        <v>82</v>
      </c>
      <c r="C34" s="22"/>
      <c r="D34" s="22"/>
      <c r="E34" s="22"/>
      <c r="F34" s="22"/>
      <c r="G34" s="22">
        <v>1</v>
      </c>
      <c r="H34" s="22">
        <v>1</v>
      </c>
      <c r="I34" s="22"/>
      <c r="J34" s="22"/>
      <c r="K34" s="22"/>
      <c r="L34" s="22"/>
      <c r="M34" s="22">
        <v>1</v>
      </c>
      <c r="N34" s="22">
        <v>1</v>
      </c>
      <c r="O34" s="22"/>
      <c r="P34" s="22"/>
      <c r="Q34" s="22"/>
      <c r="R34" s="22"/>
      <c r="S34" s="22">
        <v>1</v>
      </c>
      <c r="T34" s="22"/>
      <c r="U34" s="22"/>
      <c r="V34" s="22"/>
      <c r="W34" s="22"/>
      <c r="X34" s="22"/>
      <c r="Y34" s="22">
        <v>1</v>
      </c>
      <c r="Z34" s="22"/>
      <c r="AA34" s="23" t="s">
        <v>83</v>
      </c>
      <c r="AB34" s="6" t="s">
        <v>29</v>
      </c>
      <c r="AC34" s="6"/>
      <c r="AD34" s="8"/>
    </row>
    <row r="35" spans="1:30" ht="68.25" customHeight="1" x14ac:dyDescent="0.2">
      <c r="A35" s="115"/>
      <c r="B35" s="32" t="s">
        <v>78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>
        <v>1</v>
      </c>
      <c r="V35" s="22"/>
      <c r="W35" s="22"/>
      <c r="X35" s="22"/>
      <c r="Y35" s="22"/>
      <c r="Z35" s="22"/>
      <c r="AA35" s="23" t="s">
        <v>39</v>
      </c>
      <c r="AB35" s="6"/>
      <c r="AC35" s="6" t="s">
        <v>29</v>
      </c>
      <c r="AD35" s="8"/>
    </row>
    <row r="36" spans="1:30" ht="88.5" customHeight="1" x14ac:dyDescent="0.2">
      <c r="A36" s="115"/>
      <c r="B36" s="21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/>
      <c r="AA36" s="23" t="s">
        <v>93</v>
      </c>
      <c r="AB36" s="6" t="s">
        <v>29</v>
      </c>
      <c r="AC36" s="6"/>
      <c r="AD36" s="9"/>
    </row>
    <row r="37" spans="1:30" ht="60" customHeight="1" x14ac:dyDescent="0.2">
      <c r="A37" s="115"/>
      <c r="B37" s="21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>
        <v>1</v>
      </c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>
        <v>1</v>
      </c>
      <c r="Z37" s="22"/>
      <c r="AA37" s="23" t="s">
        <v>93</v>
      </c>
      <c r="AB37" s="6" t="s">
        <v>29</v>
      </c>
      <c r="AC37" s="6"/>
      <c r="AD37" s="9"/>
    </row>
    <row r="38" spans="1:30" ht="81.75" customHeight="1" x14ac:dyDescent="0.2">
      <c r="A38" s="106" t="s">
        <v>28</v>
      </c>
      <c r="B38" s="21" t="s">
        <v>35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>
        <v>1</v>
      </c>
      <c r="X38" s="22"/>
      <c r="Y38" s="22"/>
      <c r="Z38" s="22"/>
      <c r="AA38" s="23" t="s">
        <v>39</v>
      </c>
      <c r="AB38" s="6" t="s">
        <v>29</v>
      </c>
      <c r="AC38" s="6" t="s">
        <v>29</v>
      </c>
      <c r="AD38" s="9"/>
    </row>
    <row r="39" spans="1:30" ht="52.5" customHeight="1" x14ac:dyDescent="0.2">
      <c r="A39" s="106"/>
      <c r="B39" s="21" t="s">
        <v>45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>
        <v>1</v>
      </c>
      <c r="Z39" s="22"/>
      <c r="AA39" s="23" t="s">
        <v>40</v>
      </c>
      <c r="AB39" s="6" t="s">
        <v>29</v>
      </c>
      <c r="AC39" s="6"/>
      <c r="AD39" s="9"/>
    </row>
    <row r="40" spans="1:30" ht="77.25" customHeight="1" x14ac:dyDescent="0.2">
      <c r="A40" s="100" t="s">
        <v>32</v>
      </c>
      <c r="B40" s="21" t="s">
        <v>79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>
        <v>1</v>
      </c>
      <c r="Z40" s="22"/>
      <c r="AA40" s="23" t="s">
        <v>97</v>
      </c>
      <c r="AB40" s="6" t="s">
        <v>29</v>
      </c>
      <c r="AC40" s="6"/>
      <c r="AD40" s="9"/>
    </row>
    <row r="41" spans="1:30" ht="52.5" customHeight="1" x14ac:dyDescent="0.2">
      <c r="A41" s="100"/>
      <c r="B41" s="21" t="s">
        <v>36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>
        <v>1</v>
      </c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>
        <v>1</v>
      </c>
      <c r="Z41" s="22"/>
      <c r="AA41" s="23" t="s">
        <v>93</v>
      </c>
      <c r="AB41" s="6" t="s">
        <v>29</v>
      </c>
      <c r="AC41" s="6"/>
      <c r="AD41" s="9"/>
    </row>
    <row r="42" spans="1:30" ht="75" customHeight="1" x14ac:dyDescent="0.2">
      <c r="A42" s="94" t="s">
        <v>10</v>
      </c>
      <c r="B42" s="95"/>
      <c r="C42" s="24">
        <f t="shared" ref="C42:Z42" si="0">SUM(C13:C41)</f>
        <v>5</v>
      </c>
      <c r="D42" s="24">
        <f t="shared" si="0"/>
        <v>5</v>
      </c>
      <c r="E42" s="24">
        <f t="shared" si="0"/>
        <v>3</v>
      </c>
      <c r="F42" s="24">
        <f t="shared" si="0"/>
        <v>3</v>
      </c>
      <c r="G42" s="24">
        <f t="shared" si="0"/>
        <v>4</v>
      </c>
      <c r="H42" s="24">
        <f t="shared" si="0"/>
        <v>3</v>
      </c>
      <c r="I42" s="24">
        <f t="shared" si="0"/>
        <v>2</v>
      </c>
      <c r="J42" s="24">
        <f t="shared" si="0"/>
        <v>2</v>
      </c>
      <c r="K42" s="24">
        <f t="shared" si="0"/>
        <v>3</v>
      </c>
      <c r="L42" s="24">
        <f t="shared" si="0"/>
        <v>2</v>
      </c>
      <c r="M42" s="24">
        <f t="shared" si="0"/>
        <v>11</v>
      </c>
      <c r="N42" s="24">
        <f t="shared" si="0"/>
        <v>1</v>
      </c>
      <c r="O42" s="24">
        <f t="shared" si="0"/>
        <v>1</v>
      </c>
      <c r="P42" s="24">
        <f t="shared" si="0"/>
        <v>0</v>
      </c>
      <c r="Q42" s="24">
        <f t="shared" si="0"/>
        <v>2</v>
      </c>
      <c r="R42" s="24">
        <f t="shared" si="0"/>
        <v>0</v>
      </c>
      <c r="S42" s="24">
        <f t="shared" si="0"/>
        <v>2</v>
      </c>
      <c r="T42" s="24">
        <f t="shared" si="0"/>
        <v>0</v>
      </c>
      <c r="U42" s="24">
        <f t="shared" si="0"/>
        <v>3</v>
      </c>
      <c r="V42" s="24">
        <f t="shared" si="0"/>
        <v>0</v>
      </c>
      <c r="W42" s="24">
        <f t="shared" si="0"/>
        <v>3</v>
      </c>
      <c r="X42" s="24">
        <f t="shared" si="0"/>
        <v>0</v>
      </c>
      <c r="Y42" s="25">
        <f t="shared" si="0"/>
        <v>8</v>
      </c>
      <c r="Z42" s="24">
        <f t="shared" si="0"/>
        <v>0</v>
      </c>
      <c r="AA42" s="26"/>
      <c r="AB42" s="6"/>
      <c r="AC42" s="6"/>
      <c r="AD42" s="11"/>
    </row>
    <row r="43" spans="1:30" ht="21" customHeight="1" x14ac:dyDescent="0.2">
      <c r="A43" s="71" t="s">
        <v>7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72"/>
      <c r="AB43" s="3"/>
      <c r="AC43" s="3"/>
      <c r="AD43" s="11"/>
    </row>
    <row r="44" spans="1:30" ht="15" customHeight="1" x14ac:dyDescent="0.2">
      <c r="A44" s="82" t="s">
        <v>57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4"/>
    </row>
    <row r="45" spans="1:30" s="4" customFormat="1" ht="8.25" customHeight="1" thickBot="1" x14ac:dyDescent="0.25">
      <c r="A45" s="73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5"/>
      <c r="AB45" s="75"/>
      <c r="AC45" s="75"/>
      <c r="AD45" s="76"/>
    </row>
    <row r="46" spans="1:30" ht="24" customHeight="1" x14ac:dyDescent="0.2">
      <c r="A46" s="71" t="s">
        <v>71</v>
      </c>
      <c r="B46" s="72"/>
      <c r="C46" s="77" t="s">
        <v>58</v>
      </c>
      <c r="D46" s="78"/>
      <c r="E46" s="77" t="s">
        <v>59</v>
      </c>
      <c r="F46" s="78"/>
      <c r="G46" s="77" t="s">
        <v>60</v>
      </c>
      <c r="H46" s="78"/>
      <c r="I46" s="77" t="s">
        <v>61</v>
      </c>
      <c r="J46" s="78"/>
      <c r="K46" s="77" t="s">
        <v>62</v>
      </c>
      <c r="L46" s="78"/>
      <c r="M46" s="77" t="s">
        <v>63</v>
      </c>
      <c r="N46" s="78"/>
      <c r="O46" s="77" t="s">
        <v>64</v>
      </c>
      <c r="P46" s="78"/>
      <c r="Q46" s="77" t="s">
        <v>65</v>
      </c>
      <c r="R46" s="78"/>
      <c r="S46" s="77" t="s">
        <v>66</v>
      </c>
      <c r="T46" s="78"/>
      <c r="U46" s="77" t="s">
        <v>67</v>
      </c>
      <c r="V46" s="78"/>
      <c r="W46" s="77" t="s">
        <v>68</v>
      </c>
      <c r="X46" s="78"/>
      <c r="Y46" s="77" t="s">
        <v>69</v>
      </c>
      <c r="Z46" s="87"/>
      <c r="AA46" s="103" t="s">
        <v>4</v>
      </c>
      <c r="AB46" s="104"/>
      <c r="AC46" s="104"/>
      <c r="AD46" s="105"/>
    </row>
    <row r="47" spans="1:30" ht="23.1" customHeight="1" thickBot="1" x14ac:dyDescent="0.25">
      <c r="A47" s="69" t="s">
        <v>11</v>
      </c>
      <c r="B47" s="70"/>
      <c r="C47" s="13">
        <f>SUM(C42)</f>
        <v>5</v>
      </c>
      <c r="D47" s="13">
        <f t="shared" ref="D47:Z47" si="1">D42</f>
        <v>5</v>
      </c>
      <c r="E47" s="13">
        <f t="shared" si="1"/>
        <v>3</v>
      </c>
      <c r="F47" s="13">
        <f t="shared" si="1"/>
        <v>3</v>
      </c>
      <c r="G47" s="13">
        <f t="shared" si="1"/>
        <v>4</v>
      </c>
      <c r="H47" s="13">
        <f t="shared" si="1"/>
        <v>3</v>
      </c>
      <c r="I47" s="13">
        <f t="shared" si="1"/>
        <v>2</v>
      </c>
      <c r="J47" s="13">
        <f t="shared" si="1"/>
        <v>2</v>
      </c>
      <c r="K47" s="13">
        <f t="shared" si="1"/>
        <v>3</v>
      </c>
      <c r="L47" s="13">
        <f t="shared" si="1"/>
        <v>2</v>
      </c>
      <c r="M47" s="13">
        <f t="shared" si="1"/>
        <v>11</v>
      </c>
      <c r="N47" s="13">
        <f t="shared" si="1"/>
        <v>1</v>
      </c>
      <c r="O47" s="13">
        <f t="shared" si="1"/>
        <v>1</v>
      </c>
      <c r="P47" s="13">
        <f t="shared" si="1"/>
        <v>0</v>
      </c>
      <c r="Q47" s="13">
        <f t="shared" si="1"/>
        <v>2</v>
      </c>
      <c r="R47" s="13">
        <f t="shared" si="1"/>
        <v>0</v>
      </c>
      <c r="S47" s="13">
        <f t="shared" si="1"/>
        <v>2</v>
      </c>
      <c r="T47" s="13">
        <f t="shared" si="1"/>
        <v>0</v>
      </c>
      <c r="U47" s="13">
        <f t="shared" si="1"/>
        <v>3</v>
      </c>
      <c r="V47" s="13">
        <f t="shared" si="1"/>
        <v>0</v>
      </c>
      <c r="W47" s="13">
        <f t="shared" si="1"/>
        <v>3</v>
      </c>
      <c r="X47" s="13">
        <f t="shared" si="1"/>
        <v>0</v>
      </c>
      <c r="Y47" s="13">
        <f t="shared" si="1"/>
        <v>8</v>
      </c>
      <c r="Z47" s="14">
        <f t="shared" si="1"/>
        <v>0</v>
      </c>
      <c r="AA47" s="80">
        <f>C47+E47+G47+I47+K47+M47+O47+Q47+S47+U47+W47+Y47</f>
        <v>47</v>
      </c>
      <c r="AB47" s="85">
        <f>D47+F47+H47+J47+L47+N47+P47+R47+T47+V47+X47+Z47</f>
        <v>16</v>
      </c>
      <c r="AC47" s="85"/>
      <c r="AD47" s="28">
        <f>AB47/AA47</f>
        <v>0.34042553191489361</v>
      </c>
    </row>
    <row r="48" spans="1:30" ht="18" customHeight="1" x14ac:dyDescent="0.2">
      <c r="A48" s="69" t="s">
        <v>70</v>
      </c>
      <c r="B48" s="70"/>
      <c r="C48" s="44">
        <f>D47/C47</f>
        <v>1</v>
      </c>
      <c r="D48" s="45"/>
      <c r="E48" s="44">
        <f>F47/E47</f>
        <v>1</v>
      </c>
      <c r="F48" s="45"/>
      <c r="G48" s="44">
        <f>H47/G47</f>
        <v>0.75</v>
      </c>
      <c r="H48" s="45"/>
      <c r="I48" s="44">
        <f>J47/I47</f>
        <v>1</v>
      </c>
      <c r="J48" s="45"/>
      <c r="K48" s="44">
        <f>L47/K47</f>
        <v>0.66666666666666663</v>
      </c>
      <c r="L48" s="45"/>
      <c r="M48" s="44">
        <f>N47/M47</f>
        <v>9.0909090909090912E-2</v>
      </c>
      <c r="N48" s="45"/>
      <c r="O48" s="44">
        <f>P47/O47</f>
        <v>0</v>
      </c>
      <c r="P48" s="45"/>
      <c r="Q48" s="44">
        <f>R47/Q47</f>
        <v>0</v>
      </c>
      <c r="R48" s="45"/>
      <c r="S48" s="44">
        <f>T47/S47</f>
        <v>0</v>
      </c>
      <c r="T48" s="45"/>
      <c r="U48" s="44">
        <f>V47/U47</f>
        <v>0</v>
      </c>
      <c r="V48" s="45"/>
      <c r="W48" s="44">
        <f>X47/W47</f>
        <v>0</v>
      </c>
      <c r="X48" s="45"/>
      <c r="Y48" s="44">
        <f>Z47/Y47</f>
        <v>0</v>
      </c>
      <c r="Z48" s="46"/>
      <c r="AA48" s="80"/>
      <c r="AB48" s="85"/>
      <c r="AC48" s="86"/>
      <c r="AD48" s="29" t="s">
        <v>5</v>
      </c>
    </row>
    <row r="49" spans="1:30" ht="23.25" customHeight="1" thickBot="1" x14ac:dyDescent="0.25">
      <c r="A49" s="61" t="s">
        <v>24</v>
      </c>
      <c r="B49" s="62"/>
      <c r="C49" s="50">
        <v>0.9</v>
      </c>
      <c r="D49" s="52"/>
      <c r="E49" s="50">
        <v>0.9</v>
      </c>
      <c r="F49" s="52"/>
      <c r="G49" s="50">
        <v>0.9</v>
      </c>
      <c r="H49" s="52"/>
      <c r="I49" s="50">
        <v>0.9</v>
      </c>
      <c r="J49" s="52"/>
      <c r="K49" s="50">
        <v>0.9</v>
      </c>
      <c r="L49" s="52"/>
      <c r="M49" s="50">
        <v>0.9</v>
      </c>
      <c r="N49" s="52"/>
      <c r="O49" s="50">
        <v>0.9</v>
      </c>
      <c r="P49" s="52"/>
      <c r="Q49" s="50">
        <v>0.9</v>
      </c>
      <c r="R49" s="52"/>
      <c r="S49" s="50">
        <v>0.9</v>
      </c>
      <c r="T49" s="52"/>
      <c r="U49" s="50">
        <v>0.9</v>
      </c>
      <c r="V49" s="52"/>
      <c r="W49" s="50">
        <v>0.9</v>
      </c>
      <c r="X49" s="52"/>
      <c r="Y49" s="50">
        <v>0.9</v>
      </c>
      <c r="Z49" s="51"/>
      <c r="AA49" s="15" t="s">
        <v>25</v>
      </c>
      <c r="AB49" s="48" t="s">
        <v>26</v>
      </c>
      <c r="AC49" s="49"/>
      <c r="AD49" s="30">
        <v>0.9</v>
      </c>
    </row>
    <row r="50" spans="1:30" x14ac:dyDescent="0.2">
      <c r="A50" s="53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5"/>
      <c r="AB50" s="55"/>
      <c r="AC50" s="55"/>
      <c r="AD50" s="56"/>
    </row>
    <row r="51" spans="1:30" x14ac:dyDescent="0.2">
      <c r="A51" s="57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6"/>
    </row>
    <row r="52" spans="1:30" x14ac:dyDescent="0.2">
      <c r="A52" s="57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6"/>
    </row>
    <row r="53" spans="1:30" x14ac:dyDescent="0.2">
      <c r="A53" s="57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6"/>
    </row>
    <row r="54" spans="1:30" x14ac:dyDescent="0.2">
      <c r="A54" s="57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6"/>
    </row>
    <row r="55" spans="1:30" x14ac:dyDescent="0.2">
      <c r="A55" s="57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6"/>
    </row>
    <row r="56" spans="1:30" x14ac:dyDescent="0.2">
      <c r="A56" s="57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6"/>
    </row>
    <row r="57" spans="1:30" x14ac:dyDescent="0.2">
      <c r="A57" s="57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6"/>
    </row>
    <row r="58" spans="1:30" x14ac:dyDescent="0.2">
      <c r="A58" s="57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6"/>
    </row>
    <row r="59" spans="1:30" x14ac:dyDescent="0.2">
      <c r="A59" s="57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6"/>
    </row>
    <row r="60" spans="1:30" x14ac:dyDescent="0.2">
      <c r="A60" s="57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6"/>
    </row>
    <row r="61" spans="1:30" x14ac:dyDescent="0.2">
      <c r="A61" s="57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6"/>
    </row>
    <row r="62" spans="1:30" x14ac:dyDescent="0.2">
      <c r="A62" s="57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6"/>
    </row>
    <row r="63" spans="1:30" x14ac:dyDescent="0.2">
      <c r="A63" s="57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6"/>
    </row>
    <row r="64" spans="1:30" x14ac:dyDescent="0.2">
      <c r="A64" s="57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6"/>
    </row>
    <row r="65" spans="1:30" x14ac:dyDescent="0.2">
      <c r="A65" s="57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6"/>
    </row>
    <row r="66" spans="1:30" x14ac:dyDescent="0.2">
      <c r="A66" s="57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6"/>
    </row>
    <row r="67" spans="1:30" ht="11.25" customHeight="1" thickBot="1" x14ac:dyDescent="0.25">
      <c r="A67" s="58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60"/>
    </row>
    <row r="68" spans="1:30" s="18" customFormat="1" ht="26.25" customHeight="1" x14ac:dyDescent="0.2">
      <c r="A68" s="47" t="s">
        <v>80</v>
      </c>
      <c r="B68" s="39"/>
      <c r="C68" s="39" t="s">
        <v>46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 t="s">
        <v>47</v>
      </c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 t="s">
        <v>48</v>
      </c>
      <c r="AB68" s="39"/>
      <c r="AC68" s="39"/>
      <c r="AD68" s="40"/>
    </row>
    <row r="69" spans="1:30" s="17" customFormat="1" ht="121.5" customHeight="1" thickBot="1" x14ac:dyDescent="0.3">
      <c r="A69" s="37" t="s">
        <v>102</v>
      </c>
      <c r="B69" s="38"/>
      <c r="C69" s="41" t="s">
        <v>88</v>
      </c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1" t="s">
        <v>87</v>
      </c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1" t="s">
        <v>89</v>
      </c>
      <c r="AB69" s="42"/>
      <c r="AC69" s="42"/>
      <c r="AD69" s="43"/>
    </row>
  </sheetData>
  <autoFilter ref="A11:AF44" xr:uid="{00000000-0009-0000-0000-000000000000}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</autoFilter>
  <mergeCells count="97">
    <mergeCell ref="AA46:AD46"/>
    <mergeCell ref="E46:F46"/>
    <mergeCell ref="A38:A39"/>
    <mergeCell ref="A1:B3"/>
    <mergeCell ref="A9:AD9"/>
    <mergeCell ref="A10:A12"/>
    <mergeCell ref="AB11:AB12"/>
    <mergeCell ref="A28:A37"/>
    <mergeCell ref="C11:D11"/>
    <mergeCell ref="B10:B12"/>
    <mergeCell ref="Y8:AD8"/>
    <mergeCell ref="S11:T11"/>
    <mergeCell ref="I11:J11"/>
    <mergeCell ref="A13:A27"/>
    <mergeCell ref="C10:Z10"/>
    <mergeCell ref="U11:V11"/>
    <mergeCell ref="W11:X11"/>
    <mergeCell ref="Y11:Z11"/>
    <mergeCell ref="E11:F11"/>
    <mergeCell ref="K11:L11"/>
    <mergeCell ref="M11:N11"/>
    <mergeCell ref="C46:D46"/>
    <mergeCell ref="AB47:AC48"/>
    <mergeCell ref="W46:X46"/>
    <mergeCell ref="Y46:Z46"/>
    <mergeCell ref="A4:AD4"/>
    <mergeCell ref="A5:AD5"/>
    <mergeCell ref="A6:AD6"/>
    <mergeCell ref="A42:B42"/>
    <mergeCell ref="Q11:R11"/>
    <mergeCell ref="AA10:AA12"/>
    <mergeCell ref="A40:A41"/>
    <mergeCell ref="Y7:AD7"/>
    <mergeCell ref="AB10:AC10"/>
    <mergeCell ref="AD10:AD12"/>
    <mergeCell ref="O11:P11"/>
    <mergeCell ref="G11:H11"/>
    <mergeCell ref="C49:D49"/>
    <mergeCell ref="U48:V48"/>
    <mergeCell ref="AC11:AC12"/>
    <mergeCell ref="G46:H46"/>
    <mergeCell ref="I46:J46"/>
    <mergeCell ref="K46:L46"/>
    <mergeCell ref="M46:N46"/>
    <mergeCell ref="O46:P46"/>
    <mergeCell ref="Q46:R46"/>
    <mergeCell ref="AA47:AA48"/>
    <mergeCell ref="K48:L48"/>
    <mergeCell ref="M48:N48"/>
    <mergeCell ref="Q49:R49"/>
    <mergeCell ref="S49:T49"/>
    <mergeCell ref="A43:AA43"/>
    <mergeCell ref="A44:AD44"/>
    <mergeCell ref="G7:X7"/>
    <mergeCell ref="G8:X8"/>
    <mergeCell ref="A7:F7"/>
    <mergeCell ref="A8:F8"/>
    <mergeCell ref="Q48:R48"/>
    <mergeCell ref="C48:D48"/>
    <mergeCell ref="E48:F48"/>
    <mergeCell ref="G48:H48"/>
    <mergeCell ref="I48:J48"/>
    <mergeCell ref="O48:P48"/>
    <mergeCell ref="A47:B47"/>
    <mergeCell ref="A46:B46"/>
    <mergeCell ref="A48:B48"/>
    <mergeCell ref="A45:AD45"/>
    <mergeCell ref="S46:T46"/>
    <mergeCell ref="U46:V46"/>
    <mergeCell ref="W48:X48"/>
    <mergeCell ref="Y48:Z48"/>
    <mergeCell ref="S48:T48"/>
    <mergeCell ref="A68:B68"/>
    <mergeCell ref="AB49:AC49"/>
    <mergeCell ref="Y49:Z49"/>
    <mergeCell ref="E49:F49"/>
    <mergeCell ref="G49:H49"/>
    <mergeCell ref="O49:P49"/>
    <mergeCell ref="U49:V49"/>
    <mergeCell ref="W49:X49"/>
    <mergeCell ref="I49:J49"/>
    <mergeCell ref="K49:L49"/>
    <mergeCell ref="M49:N49"/>
    <mergeCell ref="A50:AD67"/>
    <mergeCell ref="A49:B49"/>
    <mergeCell ref="A69:B69"/>
    <mergeCell ref="AA68:AD68"/>
    <mergeCell ref="O68:Z68"/>
    <mergeCell ref="C68:N68"/>
    <mergeCell ref="C69:N69"/>
    <mergeCell ref="O69:Z69"/>
    <mergeCell ref="AA69:AD69"/>
    <mergeCell ref="C1:AA1"/>
    <mergeCell ref="C2:AA3"/>
    <mergeCell ref="AB1:AD1"/>
    <mergeCell ref="AB2:AD2"/>
    <mergeCell ref="AB3:AD3"/>
  </mergeCells>
  <conditionalFormatting sqref="C48:C49 E48:E49 G48:G49 K48:K49 O48:O49 S48:S49 W48:W49 I48:I49 M48:M49 Q48:Q49 U48:U49 Y48:Y49 AB13:AC15 AB17:AC17 AB35:AC42 AB20:AC28 AB30:AC32 C13:Z33 C35:Z42 C34:D34 G34:J34 M34:Z34">
    <cfRule type="cellIs" dxfId="63" priority="411" operator="between">
      <formula>1</formula>
      <formula>9</formula>
    </cfRule>
    <cfRule type="cellIs" dxfId="62" priority="412" stopIfTrue="1" operator="equal">
      <formula>0</formula>
    </cfRule>
    <cfRule type="cellIs" dxfId="61" priority="413" stopIfTrue="1" operator="equal">
      <formula>0</formula>
    </cfRule>
    <cfRule type="cellIs" dxfId="60" priority="414" stopIfTrue="1" operator="equal">
      <formula>0</formula>
    </cfRule>
    <cfRule type="cellIs" dxfId="59" priority="415" stopIfTrue="1" operator="equal">
      <formula>0</formula>
    </cfRule>
    <cfRule type="cellIs" dxfId="58" priority="416" stopIfTrue="1" operator="equal">
      <formula>1</formula>
    </cfRule>
  </conditionalFormatting>
  <conditionalFormatting sqref="C48:C49 E48:E49 G48:G49 K48:K49 O48:O49 S48:S49 W48:W49 I48:I49 M48:M49 Q48:Q49 U48:U49 Y48:Y49 AB13:AC15 AB17:AC17 AB35:AC42 AB20:AC28 AB30:AC32 C13:Z33 C35:Z42 C34:D34 G34:J34 M34:Z34">
    <cfRule type="cellIs" dxfId="57" priority="410" operator="equal">
      <formula>0</formula>
    </cfRule>
  </conditionalFormatting>
  <conditionalFormatting sqref="C48:C49 E48:E49 G48:G49 K48:K49 O48:O49 S48:S49 W48:W49 I48:I49 M48:M49 Q48:Q49 U48:U49 Y48:Y49 AB13:AC15 AB17:AC17 AB35:AC42 AB20:AC28 AB30:AC32 C13:Z33 C35:Z42 C34:D34 G34:J34 M34:Z34">
    <cfRule type="cellIs" dxfId="56" priority="409" stopIfTrue="1" operator="equal">
      <formula>0</formula>
    </cfRule>
  </conditionalFormatting>
  <conditionalFormatting sqref="AB16:AC16">
    <cfRule type="cellIs" dxfId="55" priority="51" operator="between">
      <formula>1</formula>
      <formula>9</formula>
    </cfRule>
    <cfRule type="cellIs" dxfId="54" priority="52" stopIfTrue="1" operator="equal">
      <formula>0</formula>
    </cfRule>
    <cfRule type="cellIs" dxfId="53" priority="53" stopIfTrue="1" operator="equal">
      <formula>0</formula>
    </cfRule>
    <cfRule type="cellIs" dxfId="52" priority="54" stopIfTrue="1" operator="equal">
      <formula>0</formula>
    </cfRule>
    <cfRule type="cellIs" dxfId="51" priority="55" stopIfTrue="1" operator="equal">
      <formula>0</formula>
    </cfRule>
    <cfRule type="cellIs" dxfId="50" priority="56" stopIfTrue="1" operator="equal">
      <formula>1</formula>
    </cfRule>
  </conditionalFormatting>
  <conditionalFormatting sqref="AB16:AC16">
    <cfRule type="cellIs" dxfId="49" priority="50" operator="equal">
      <formula>0</formula>
    </cfRule>
  </conditionalFormatting>
  <conditionalFormatting sqref="AB16:AC16">
    <cfRule type="cellIs" dxfId="48" priority="49" stopIfTrue="1" operator="equal">
      <formula>0</formula>
    </cfRule>
  </conditionalFormatting>
  <conditionalFormatting sqref="AB18:AC19">
    <cfRule type="cellIs" dxfId="47" priority="43" operator="between">
      <formula>1</formula>
      <formula>9</formula>
    </cfRule>
    <cfRule type="cellIs" dxfId="46" priority="44" stopIfTrue="1" operator="equal">
      <formula>0</formula>
    </cfRule>
    <cfRule type="cellIs" dxfId="45" priority="45" stopIfTrue="1" operator="equal">
      <formula>0</formula>
    </cfRule>
    <cfRule type="cellIs" dxfId="44" priority="46" stopIfTrue="1" operator="equal">
      <formula>0</formula>
    </cfRule>
    <cfRule type="cellIs" dxfId="43" priority="47" stopIfTrue="1" operator="equal">
      <formula>0</formula>
    </cfRule>
    <cfRule type="cellIs" dxfId="42" priority="48" stopIfTrue="1" operator="equal">
      <formula>1</formula>
    </cfRule>
  </conditionalFormatting>
  <conditionalFormatting sqref="AB18:AC19">
    <cfRule type="cellIs" dxfId="41" priority="42" operator="equal">
      <formula>0</formula>
    </cfRule>
  </conditionalFormatting>
  <conditionalFormatting sqref="AB18:AC19">
    <cfRule type="cellIs" dxfId="40" priority="41" stopIfTrue="1" operator="equal">
      <formula>0</formula>
    </cfRule>
  </conditionalFormatting>
  <conditionalFormatting sqref="AB33:AC33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33:AC33">
    <cfRule type="cellIs" dxfId="33" priority="34" operator="equal">
      <formula>0</formula>
    </cfRule>
  </conditionalFormatting>
  <conditionalFormatting sqref="AB33:AC33">
    <cfRule type="cellIs" dxfId="32" priority="33" stopIfTrue="1" operator="equal">
      <formula>0</formula>
    </cfRule>
  </conditionalFormatting>
  <conditionalFormatting sqref="AB34:AC34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34:AC34">
    <cfRule type="cellIs" dxfId="25" priority="26" operator="equal">
      <formula>0</formula>
    </cfRule>
  </conditionalFormatting>
  <conditionalFormatting sqref="AB34:AC34">
    <cfRule type="cellIs" dxfId="24" priority="25" stopIfTrue="1" operator="equal">
      <formula>0</formula>
    </cfRule>
  </conditionalFormatting>
  <conditionalFormatting sqref="AB29:AC29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29:AC29">
    <cfRule type="cellIs" dxfId="17" priority="18" operator="equal">
      <formula>0</formula>
    </cfRule>
  </conditionalFormatting>
  <conditionalFormatting sqref="AB29:AC29">
    <cfRule type="cellIs" dxfId="16" priority="17" stopIfTrue="1" operator="equal">
      <formula>0</formula>
    </cfRule>
  </conditionalFormatting>
  <conditionalFormatting sqref="E34:F34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E34:F34">
    <cfRule type="cellIs" dxfId="9" priority="10" operator="equal">
      <formula>0</formula>
    </cfRule>
  </conditionalFormatting>
  <conditionalFormatting sqref="E34:F34">
    <cfRule type="cellIs" dxfId="8" priority="9" stopIfTrue="1" operator="equal">
      <formula>0</formula>
    </cfRule>
  </conditionalFormatting>
  <conditionalFormatting sqref="K34:L34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K34:L34">
    <cfRule type="cellIs" dxfId="1" priority="2" operator="equal">
      <formula>0</formula>
    </cfRule>
  </conditionalFormatting>
  <conditionalFormatting sqref="K34:L34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5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2023-02-11T19:49:14Z</cp:lastPrinted>
  <dcterms:created xsi:type="dcterms:W3CDTF">2008-10-02T15:12:04Z</dcterms:created>
  <dcterms:modified xsi:type="dcterms:W3CDTF">2023-06-03T18:34:39Z</dcterms:modified>
</cp:coreProperties>
</file>