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2\9_Objetivos SG-SST\"/>
    </mc:Choice>
  </mc:AlternateContent>
  <bookViews>
    <workbookView xWindow="-120" yWindow="-120" windowWidth="20730" windowHeight="11160" activeTab="1"/>
  </bookViews>
  <sheets>
    <sheet name="OBJETIVOS SST" sheetId="1" r:id="rId1"/>
    <sheet name="MEDICION OBJETIVOS SGSST" sheetId="2" r:id="rId2"/>
  </sheets>
  <definedNames>
    <definedName name="_xlnm.Print_Area" localSheetId="1">'MEDICION OBJETIVOS SGSST'!$A$1:$H$17</definedName>
    <definedName name="_xlnm.Print_Area" localSheetId="0">'OBJETIVOS SST'!$A$1:$H$17</definedName>
    <definedName name="_xlnm.Print_Titles" localSheetId="1">'MEDICION OBJETIVOS SGSST'!$1:$3</definedName>
    <definedName name="_xlnm.Print_Titles" localSheetId="0">'OBJETIVOS SST'!$1:$3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9" i="2" l="1"/>
  <c r="U13" i="2" l="1"/>
  <c r="U12" i="2"/>
  <c r="U10" i="2"/>
</calcChain>
</file>

<file path=xl/comments1.xml><?xml version="1.0" encoding="utf-8"?>
<comments xmlns="http://schemas.openxmlformats.org/spreadsheetml/2006/main">
  <authors>
    <author>User</author>
  </authors>
  <commentList>
    <comment ref="I9" authorId="0" shapeId="0">
      <text>
        <r>
          <rPr>
            <b/>
            <sz val="9"/>
            <color indexed="81"/>
            <rFont val="Tahoma"/>
            <family val="2"/>
          </rPr>
          <t>Se intervino:
1- Biologico: Normas de bioseguridad.
2-Riesgo Mecanico
3-Seguridad Vial
4-Tecnologico (Cap Bomberos)
5- Psicosocial (aplicación bateria y cap)
6-Locativo (Senderos peatonales y encerramiento)
7-Ergonomico</t>
        </r>
      </text>
    </comment>
    <comment ref="U9" authorId="0" shapeId="0">
      <text>
        <r>
          <rPr>
            <b/>
            <sz val="9"/>
            <color indexed="81"/>
            <rFont val="Tahoma"/>
            <family val="2"/>
          </rPr>
          <t>Son 9 Riesgos identificados:
1-Seguridad Vial
2-Ergonomico
3-Físico
4-Mecanico
5-Locativo
6-Quimico
7-Biologico
8-Psicosocial
9-Tecnologico</t>
        </r>
      </text>
    </comment>
  </commentList>
</comments>
</file>

<file path=xl/sharedStrings.xml><?xml version="1.0" encoding="utf-8"?>
<sst xmlns="http://schemas.openxmlformats.org/spreadsheetml/2006/main" count="125" uniqueCount="61">
  <si>
    <t>SISTEMA DE GESTIÓN DE LA SEGURIDAD Y SALUD EN EL TRABAJO</t>
  </si>
  <si>
    <t>VERSION 002</t>
  </si>
  <si>
    <t>Página 1 de 1</t>
  </si>
  <si>
    <t>OBJETIVOS DE SST</t>
  </si>
  <si>
    <t>PERIODO DE VIGENCIA</t>
  </si>
  <si>
    <t>FECHA DE REVISIÓN.</t>
  </si>
  <si>
    <t>DIRECTRIZ DE LA POLITICA</t>
  </si>
  <si>
    <t>OBJETIVOS</t>
  </si>
  <si>
    <t>NOMBRE
INDICADOR</t>
  </si>
  <si>
    <t>RESPONSABLE</t>
  </si>
  <si>
    <t>FORMULA</t>
  </si>
  <si>
    <t>FRECUENCIA DE ANÁLISIS</t>
  </si>
  <si>
    <t>Lograr cumplir el 80% de los requisitos legales SST aplicables a la empresa</t>
  </si>
  <si>
    <t>Cumplimiento Legal</t>
  </si>
  <si>
    <t>Número de requisitos legales  cumplidos/Número requisitos legales identificados en la matriz legal * 100</t>
  </si>
  <si>
    <t>Anual</t>
  </si>
  <si>
    <t>Minimizar la ocurrencia de accidentes de trabajo a través de la gestión de los riesgos</t>
  </si>
  <si>
    <t>Mensual</t>
  </si>
  <si>
    <t>identificar los peligros, evaluar y valorar los riesgos, estableciendo los respectivos controles mediante la matriz de riesgo</t>
  </si>
  <si>
    <t>Cumplimiento de la normatividad nacional vigente en materia de riesgos laborales</t>
  </si>
  <si>
    <t xml:space="preserve">Cumplir las exigencias legales vigentes en materia de riesgos laborales. </t>
  </si>
  <si>
    <t>Prevenir accidentes de trabajo o enfermedades laborales.</t>
  </si>
  <si>
    <t>Identificar, evaluar, valorar, controlar y minimizar los peligros y los riesgos presentes en los centros de trabajo</t>
  </si>
  <si>
    <t>Intervenir el 100% de los riesgos prioritarios identificados</t>
  </si>
  <si>
    <t>% intervención de los riesgos priorizado</t>
  </si>
  <si>
    <t>(Riesgos prioritarios intervenidos / Total de riesgos prioritarios identificados) * 100</t>
  </si>
  <si>
    <t>Frecuencia de la accidentalidad</t>
  </si>
  <si>
    <t>Severidad de la accidentalidad</t>
  </si>
  <si>
    <t>(Numero de accidentes de trabajo/ Número de trabajadores)*100</t>
  </si>
  <si>
    <t>META</t>
  </si>
  <si>
    <t>Presentar en cero la frecuencia de la accidentalidad</t>
  </si>
  <si>
    <t>Presentar en cero la severidad de la accidentalidad</t>
  </si>
  <si>
    <t>((Número de dias de incapacidad por accidente de trabajo + Número de dias cargados)/ Número de trabajadores)*100</t>
  </si>
  <si>
    <t>Mantener en cero la incidencia de la enfermedad laboral</t>
  </si>
  <si>
    <t>Mantener en cero la prevalencia de la enfermedad laboral</t>
  </si>
  <si>
    <t>Prevalencia de la enfermedad laboral</t>
  </si>
  <si>
    <t>Incidencia de la enfermedad laboral</t>
  </si>
  <si>
    <t>(Número de casos nuevos de enfermedad laboral  en el periodo "Z"  /promedio de trabajadores en el periodo "Z")* 100.000</t>
  </si>
  <si>
    <t xml:space="preserve">(Número de casos nuevos y antiguos de enfermedad laboral en el periodo "Z" /promedio de trabajadores en el periodo "z")* 100.000 </t>
  </si>
  <si>
    <t>FECHA: 04/02/2021</t>
  </si>
  <si>
    <t>FIRMA DEL GERENTE:</t>
  </si>
  <si>
    <t>Lina María Correa Mejía</t>
  </si>
  <si>
    <t>Excavaciones Correa Mejía S.A.S</t>
  </si>
  <si>
    <t>Prevenir la ocurrencia de enfermedades laborales a traves de la gestion de los riesgos</t>
  </si>
  <si>
    <t>Febrero 2022</t>
  </si>
  <si>
    <t>Gerencia - COPASST</t>
  </si>
  <si>
    <t>Gerencia - COPASST - todos los trabajadores</t>
  </si>
  <si>
    <t>MEDICION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</si>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</sst>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A18B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9" fontId="3" fillId="2" borderId="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wrapText="1"/>
    </xf>
    <xf numFmtId="0" fontId="6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4" fillId="0" borderId="9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3" fillId="0" borderId="23" xfId="0" applyFont="1" applyBorder="1" applyAlignment="1">
      <alignment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9" fontId="4" fillId="0" borderId="0" xfId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166055-AE83-4885-B735-F536166EC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166055-AE83-4885-B735-F536166EC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opLeftCell="A6" workbookViewId="0">
      <selection activeCell="H9" sqref="H9"/>
    </sheetView>
  </sheetViews>
  <sheetFormatPr baseColWidth="10" defaultRowHeight="1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16384" width="11.42578125" style="1"/>
  </cols>
  <sheetData>
    <row r="1" spans="1:8" ht="36" customHeight="1" thickBot="1" x14ac:dyDescent="0.25">
      <c r="A1" s="31"/>
      <c r="B1" s="44" t="s">
        <v>0</v>
      </c>
      <c r="C1" s="45"/>
      <c r="D1" s="45"/>
      <c r="E1" s="45"/>
      <c r="F1" s="45"/>
      <c r="G1" s="46"/>
      <c r="H1" s="2" t="s">
        <v>39</v>
      </c>
    </row>
    <row r="2" spans="1:8" ht="18" customHeight="1" thickBot="1" x14ac:dyDescent="0.25">
      <c r="A2" s="31"/>
      <c r="B2" s="47" t="s">
        <v>3</v>
      </c>
      <c r="C2" s="48"/>
      <c r="D2" s="48"/>
      <c r="E2" s="48"/>
      <c r="F2" s="48"/>
      <c r="G2" s="48"/>
      <c r="H2" s="2" t="s">
        <v>1</v>
      </c>
    </row>
    <row r="3" spans="1:8" ht="27" customHeight="1" thickBot="1" x14ac:dyDescent="0.25">
      <c r="A3" s="31"/>
      <c r="B3" s="49"/>
      <c r="C3" s="50"/>
      <c r="D3" s="50"/>
      <c r="E3" s="50"/>
      <c r="F3" s="50"/>
      <c r="G3" s="50"/>
      <c r="H3" s="2" t="s">
        <v>2</v>
      </c>
    </row>
    <row r="4" spans="1:8" x14ac:dyDescent="0.2">
      <c r="A4" s="18"/>
      <c r="B4" s="15"/>
      <c r="C4" s="15"/>
      <c r="D4" s="15"/>
      <c r="E4" s="15"/>
      <c r="F4" s="15"/>
      <c r="G4" s="15"/>
      <c r="H4" s="19"/>
    </row>
    <row r="5" spans="1:8" s="3" customFormat="1" x14ac:dyDescent="0.25">
      <c r="A5" s="20" t="s">
        <v>4</v>
      </c>
      <c r="B5" s="14">
        <v>2022</v>
      </c>
      <c r="C5" s="16"/>
      <c r="D5" s="16" t="s">
        <v>5</v>
      </c>
      <c r="E5" s="30" t="s">
        <v>44</v>
      </c>
      <c r="F5" s="30"/>
      <c r="G5" s="16"/>
      <c r="H5" s="21"/>
    </row>
    <row r="6" spans="1:8" s="8" customFormat="1" thickBot="1" x14ac:dyDescent="0.25">
      <c r="A6" s="22"/>
      <c r="B6" s="17"/>
      <c r="C6" s="17"/>
      <c r="D6" s="17"/>
      <c r="E6" s="17"/>
      <c r="F6" s="17"/>
      <c r="G6" s="17"/>
      <c r="H6" s="23"/>
    </row>
    <row r="7" spans="1:8" s="8" customFormat="1" ht="30" x14ac:dyDescent="0.2">
      <c r="A7" s="34" t="s">
        <v>6</v>
      </c>
      <c r="B7" s="35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13" t="s">
        <v>11</v>
      </c>
    </row>
    <row r="8" spans="1:8" s="8" customFormat="1" ht="95.25" customHeight="1" x14ac:dyDescent="0.2">
      <c r="A8" s="36" t="s">
        <v>19</v>
      </c>
      <c r="B8" s="37"/>
      <c r="C8" s="4" t="s">
        <v>20</v>
      </c>
      <c r="D8" s="4" t="s">
        <v>12</v>
      </c>
      <c r="E8" s="4" t="s">
        <v>13</v>
      </c>
      <c r="F8" s="4" t="s">
        <v>45</v>
      </c>
      <c r="G8" s="4" t="s">
        <v>14</v>
      </c>
      <c r="H8" s="5" t="s">
        <v>15</v>
      </c>
    </row>
    <row r="9" spans="1:8" s="8" customFormat="1" ht="78.75" customHeight="1" x14ac:dyDescent="0.2">
      <c r="A9" s="36" t="s">
        <v>18</v>
      </c>
      <c r="B9" s="37"/>
      <c r="C9" s="4" t="s">
        <v>22</v>
      </c>
      <c r="D9" s="6" t="s">
        <v>23</v>
      </c>
      <c r="E9" s="7" t="s">
        <v>24</v>
      </c>
      <c r="F9" s="4" t="s">
        <v>45</v>
      </c>
      <c r="G9" s="4" t="s">
        <v>25</v>
      </c>
      <c r="H9" s="5" t="s">
        <v>15</v>
      </c>
    </row>
    <row r="10" spans="1:8" s="8" customFormat="1" ht="75.75" customHeight="1" x14ac:dyDescent="0.2">
      <c r="A10" s="38" t="s">
        <v>21</v>
      </c>
      <c r="B10" s="39"/>
      <c r="C10" s="32" t="s">
        <v>16</v>
      </c>
      <c r="D10" s="6" t="s">
        <v>30</v>
      </c>
      <c r="E10" s="4" t="s">
        <v>26</v>
      </c>
      <c r="F10" s="4" t="s">
        <v>46</v>
      </c>
      <c r="G10" s="9" t="s">
        <v>28</v>
      </c>
      <c r="H10" s="5" t="s">
        <v>17</v>
      </c>
    </row>
    <row r="11" spans="1:8" s="8" customFormat="1" ht="82.5" customHeight="1" x14ac:dyDescent="0.2">
      <c r="A11" s="40"/>
      <c r="B11" s="41"/>
      <c r="C11" s="32"/>
      <c r="D11" s="6" t="s">
        <v>31</v>
      </c>
      <c r="E11" s="4" t="s">
        <v>27</v>
      </c>
      <c r="F11" s="4" t="s">
        <v>46</v>
      </c>
      <c r="G11" s="9" t="s">
        <v>32</v>
      </c>
      <c r="H11" s="5" t="s">
        <v>17</v>
      </c>
    </row>
    <row r="12" spans="1:8" s="8" customFormat="1" ht="87.75" customHeight="1" x14ac:dyDescent="0.2">
      <c r="A12" s="40"/>
      <c r="B12" s="41"/>
      <c r="C12" s="32" t="s">
        <v>43</v>
      </c>
      <c r="D12" s="4" t="s">
        <v>33</v>
      </c>
      <c r="E12" s="4" t="s">
        <v>36</v>
      </c>
      <c r="F12" s="4" t="s">
        <v>46</v>
      </c>
      <c r="G12" s="4" t="s">
        <v>37</v>
      </c>
      <c r="H12" s="5" t="s">
        <v>15</v>
      </c>
    </row>
    <row r="13" spans="1:8" s="8" customFormat="1" ht="77.25" customHeight="1" thickBot="1" x14ac:dyDescent="0.25">
      <c r="A13" s="42"/>
      <c r="B13" s="43"/>
      <c r="C13" s="33"/>
      <c r="D13" s="10" t="s">
        <v>34</v>
      </c>
      <c r="E13" s="10" t="s">
        <v>35</v>
      </c>
      <c r="F13" s="10" t="s">
        <v>46</v>
      </c>
      <c r="G13" s="10" t="s">
        <v>38</v>
      </c>
      <c r="H13" s="11" t="s">
        <v>15</v>
      </c>
    </row>
    <row r="15" spans="1:8" ht="34.5" customHeight="1" x14ac:dyDescent="0.2">
      <c r="C15" s="26" t="s">
        <v>40</v>
      </c>
      <c r="D15" s="24"/>
    </row>
    <row r="16" spans="1:8" x14ac:dyDescent="0.2">
      <c r="B16" s="8"/>
      <c r="D16" s="25" t="s">
        <v>41</v>
      </c>
    </row>
    <row r="17" spans="2:4" x14ac:dyDescent="0.2">
      <c r="B17" s="8"/>
      <c r="C17" s="8"/>
      <c r="D17" s="25" t="s">
        <v>42</v>
      </c>
    </row>
    <row r="18" spans="2:4" x14ac:dyDescent="0.2">
      <c r="B18" s="8"/>
      <c r="C18" s="8"/>
      <c r="D18" s="8"/>
    </row>
  </sheetData>
  <mergeCells count="10">
    <mergeCell ref="E5:F5"/>
    <mergeCell ref="A1:A3"/>
    <mergeCell ref="C10:C11"/>
    <mergeCell ref="C12:C13"/>
    <mergeCell ref="A7:B7"/>
    <mergeCell ref="A8:B8"/>
    <mergeCell ref="A9:B9"/>
    <mergeCell ref="A10:B13"/>
    <mergeCell ref="B1:G1"/>
    <mergeCell ref="B2:G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18"/>
  <sheetViews>
    <sheetView tabSelected="1" topLeftCell="D6" workbookViewId="0">
      <selection activeCell="I8" sqref="I8:T8"/>
    </sheetView>
  </sheetViews>
  <sheetFormatPr baseColWidth="10" defaultRowHeight="15.7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20" width="6" style="51" customWidth="1"/>
    <col min="21" max="21" width="13.85546875" style="51" bestFit="1" customWidth="1"/>
    <col min="22" max="22" width="11.42578125" style="51"/>
    <col min="23" max="16384" width="11.42578125" style="1"/>
  </cols>
  <sheetData>
    <row r="1" spans="1:22" ht="36" customHeight="1" thickBot="1" x14ac:dyDescent="0.25">
      <c r="A1" s="31"/>
      <c r="B1" s="44" t="s">
        <v>0</v>
      </c>
      <c r="C1" s="45"/>
      <c r="D1" s="45"/>
      <c r="E1" s="45"/>
      <c r="F1" s="45"/>
      <c r="G1" s="46"/>
      <c r="H1" s="27" t="s">
        <v>39</v>
      </c>
    </row>
    <row r="2" spans="1:22" ht="18" customHeight="1" thickBot="1" x14ac:dyDescent="0.25">
      <c r="A2" s="31"/>
      <c r="B2" s="47" t="s">
        <v>3</v>
      </c>
      <c r="C2" s="48"/>
      <c r="D2" s="48"/>
      <c r="E2" s="48"/>
      <c r="F2" s="48"/>
      <c r="G2" s="48"/>
      <c r="H2" s="27" t="s">
        <v>1</v>
      </c>
    </row>
    <row r="3" spans="1:22" ht="27" customHeight="1" thickBot="1" x14ac:dyDescent="0.25">
      <c r="A3" s="31"/>
      <c r="B3" s="49"/>
      <c r="C3" s="50"/>
      <c r="D3" s="50"/>
      <c r="E3" s="50"/>
      <c r="F3" s="50"/>
      <c r="G3" s="50"/>
      <c r="H3" s="27" t="s">
        <v>2</v>
      </c>
    </row>
    <row r="4" spans="1:22" x14ac:dyDescent="0.2">
      <c r="A4" s="18"/>
      <c r="B4" s="15"/>
      <c r="C4" s="15"/>
      <c r="D4" s="15"/>
      <c r="E4" s="15"/>
      <c r="F4" s="15"/>
      <c r="G4" s="15"/>
      <c r="H4" s="19"/>
    </row>
    <row r="5" spans="1:22" s="3" customFormat="1" ht="15" x14ac:dyDescent="0.25">
      <c r="A5" s="20" t="s">
        <v>4</v>
      </c>
      <c r="B5" s="14">
        <v>2022</v>
      </c>
      <c r="C5" s="16"/>
      <c r="D5" s="16" t="s">
        <v>5</v>
      </c>
      <c r="E5" s="30" t="s">
        <v>44</v>
      </c>
      <c r="F5" s="30"/>
      <c r="G5" s="16"/>
      <c r="H5" s="21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</row>
    <row r="6" spans="1:22" s="8" customFormat="1" thickBot="1" x14ac:dyDescent="0.25">
      <c r="A6" s="22"/>
      <c r="B6" s="17"/>
      <c r="C6" s="17"/>
      <c r="D6" s="17"/>
      <c r="E6" s="17"/>
      <c r="F6" s="17"/>
      <c r="G6" s="17"/>
      <c r="H6" s="23"/>
      <c r="I6" s="52" t="s">
        <v>47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 t="s">
        <v>60</v>
      </c>
      <c r="V6" s="53" t="s">
        <v>29</v>
      </c>
    </row>
    <row r="7" spans="1:22" s="8" customFormat="1" ht="30" x14ac:dyDescent="0.2">
      <c r="A7" s="34" t="s">
        <v>6</v>
      </c>
      <c r="B7" s="35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13" t="s">
        <v>11</v>
      </c>
      <c r="I7" s="25" t="s">
        <v>48</v>
      </c>
      <c r="J7" s="25" t="s">
        <v>49</v>
      </c>
      <c r="K7" s="25" t="s">
        <v>50</v>
      </c>
      <c r="L7" s="25" t="s">
        <v>51</v>
      </c>
      <c r="M7" s="25" t="s">
        <v>52</v>
      </c>
      <c r="N7" s="25" t="s">
        <v>53</v>
      </c>
      <c r="O7" s="25" t="s">
        <v>54</v>
      </c>
      <c r="P7" s="25" t="s">
        <v>55</v>
      </c>
      <c r="Q7" s="25" t="s">
        <v>56</v>
      </c>
      <c r="R7" s="25" t="s">
        <v>57</v>
      </c>
      <c r="S7" s="25" t="s">
        <v>58</v>
      </c>
      <c r="T7" s="25" t="s">
        <v>59</v>
      </c>
      <c r="U7" s="53"/>
      <c r="V7" s="53"/>
    </row>
    <row r="8" spans="1:22" s="8" customFormat="1" ht="95.25" customHeight="1" x14ac:dyDescent="0.2">
      <c r="A8" s="36" t="s">
        <v>19</v>
      </c>
      <c r="B8" s="37"/>
      <c r="C8" s="28" t="s">
        <v>20</v>
      </c>
      <c r="D8" s="28" t="s">
        <v>12</v>
      </c>
      <c r="E8" s="28" t="s">
        <v>13</v>
      </c>
      <c r="F8" s="28" t="s">
        <v>45</v>
      </c>
      <c r="G8" s="28" t="s">
        <v>14</v>
      </c>
      <c r="H8" s="5" t="s">
        <v>15</v>
      </c>
      <c r="I8" s="52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4"/>
      <c r="V8" s="54">
        <v>0.8</v>
      </c>
    </row>
    <row r="9" spans="1:22" s="8" customFormat="1" ht="78.75" customHeight="1" x14ac:dyDescent="0.2">
      <c r="A9" s="36" t="s">
        <v>18</v>
      </c>
      <c r="B9" s="37"/>
      <c r="C9" s="28" t="s">
        <v>22</v>
      </c>
      <c r="D9" s="6" t="s">
        <v>23</v>
      </c>
      <c r="E9" s="7" t="s">
        <v>24</v>
      </c>
      <c r="F9" s="28" t="s">
        <v>45</v>
      </c>
      <c r="G9" s="28" t="s">
        <v>25</v>
      </c>
      <c r="H9" s="5" t="s">
        <v>15</v>
      </c>
      <c r="I9" s="52">
        <v>7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>
        <f>I9/9</f>
        <v>0.77777777777777779</v>
      </c>
      <c r="V9" s="54">
        <v>1</v>
      </c>
    </row>
    <row r="10" spans="1:22" s="8" customFormat="1" ht="75.75" customHeight="1" x14ac:dyDescent="0.2">
      <c r="A10" s="38" t="s">
        <v>21</v>
      </c>
      <c r="B10" s="39"/>
      <c r="C10" s="32" t="s">
        <v>16</v>
      </c>
      <c r="D10" s="6" t="s">
        <v>30</v>
      </c>
      <c r="E10" s="28" t="s">
        <v>26</v>
      </c>
      <c r="F10" s="28" t="s">
        <v>46</v>
      </c>
      <c r="G10" s="9" t="s">
        <v>28</v>
      </c>
      <c r="H10" s="5" t="s">
        <v>17</v>
      </c>
      <c r="I10" s="25">
        <v>0</v>
      </c>
      <c r="J10" s="25">
        <v>0</v>
      </c>
      <c r="K10" s="25">
        <v>1</v>
      </c>
      <c r="L10" s="25">
        <v>0</v>
      </c>
      <c r="M10" s="25">
        <v>1</v>
      </c>
      <c r="N10" s="25">
        <v>0</v>
      </c>
      <c r="O10" s="25">
        <v>1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U10" s="54">
        <f>SUM(I10:T10)/11</f>
        <v>0.27272727272727271</v>
      </c>
      <c r="V10" s="54">
        <v>0</v>
      </c>
    </row>
    <row r="11" spans="1:22" s="8" customFormat="1" ht="82.5" customHeight="1" x14ac:dyDescent="0.2">
      <c r="A11" s="40"/>
      <c r="B11" s="41"/>
      <c r="C11" s="32"/>
      <c r="D11" s="6" t="s">
        <v>31</v>
      </c>
      <c r="E11" s="28" t="s">
        <v>27</v>
      </c>
      <c r="F11" s="28" t="s">
        <v>46</v>
      </c>
      <c r="G11" s="9" t="s">
        <v>32</v>
      </c>
      <c r="H11" s="5" t="s">
        <v>17</v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54">
        <v>0</v>
      </c>
    </row>
    <row r="12" spans="1:22" s="8" customFormat="1" ht="87.75" customHeight="1" x14ac:dyDescent="0.2">
      <c r="A12" s="40"/>
      <c r="B12" s="41"/>
      <c r="C12" s="32" t="s">
        <v>43</v>
      </c>
      <c r="D12" s="28" t="s">
        <v>33</v>
      </c>
      <c r="E12" s="28" t="s">
        <v>36</v>
      </c>
      <c r="F12" s="28" t="s">
        <v>46</v>
      </c>
      <c r="G12" s="28" t="s">
        <v>37</v>
      </c>
      <c r="H12" s="5" t="s">
        <v>15</v>
      </c>
      <c r="I12" s="52">
        <v>0</v>
      </c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4">
        <f>SUM(I12:T12)/11</f>
        <v>0</v>
      </c>
      <c r="V12" s="54">
        <v>0</v>
      </c>
    </row>
    <row r="13" spans="1:22" s="8" customFormat="1" ht="77.25" customHeight="1" thickBot="1" x14ac:dyDescent="0.25">
      <c r="A13" s="42"/>
      <c r="B13" s="43"/>
      <c r="C13" s="33"/>
      <c r="D13" s="29" t="s">
        <v>34</v>
      </c>
      <c r="E13" s="29" t="s">
        <v>35</v>
      </c>
      <c r="F13" s="29" t="s">
        <v>46</v>
      </c>
      <c r="G13" s="29" t="s">
        <v>38</v>
      </c>
      <c r="H13" s="11" t="s">
        <v>15</v>
      </c>
      <c r="I13" s="56">
        <v>0</v>
      </c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4">
        <f>SUM(I13:T13)/11</f>
        <v>0</v>
      </c>
      <c r="V13" s="54">
        <v>0</v>
      </c>
    </row>
    <row r="15" spans="1:22" ht="34.5" customHeight="1" x14ac:dyDescent="0.2">
      <c r="C15" s="26" t="s">
        <v>40</v>
      </c>
      <c r="D15" s="24"/>
    </row>
    <row r="16" spans="1:22" x14ac:dyDescent="0.2">
      <c r="B16" s="8"/>
      <c r="D16" s="25" t="s">
        <v>41</v>
      </c>
    </row>
    <row r="17" spans="2:4" x14ac:dyDescent="0.2">
      <c r="B17" s="8"/>
      <c r="C17" s="8"/>
      <c r="D17" s="25" t="s">
        <v>42</v>
      </c>
    </row>
    <row r="18" spans="2:4" x14ac:dyDescent="0.2">
      <c r="B18" s="8"/>
      <c r="C18" s="8"/>
      <c r="D18" s="8"/>
    </row>
  </sheetData>
  <mergeCells count="17">
    <mergeCell ref="V6:V7"/>
    <mergeCell ref="I8:T8"/>
    <mergeCell ref="I9:T9"/>
    <mergeCell ref="I12:T12"/>
    <mergeCell ref="I13:T13"/>
    <mergeCell ref="A9:B9"/>
    <mergeCell ref="A10:B13"/>
    <mergeCell ref="C10:C11"/>
    <mergeCell ref="C12:C13"/>
    <mergeCell ref="I6:T6"/>
    <mergeCell ref="U6:U7"/>
    <mergeCell ref="A1:A3"/>
    <mergeCell ref="B1:G1"/>
    <mergeCell ref="B2:G3"/>
    <mergeCell ref="E5:F5"/>
    <mergeCell ref="A7:B7"/>
    <mergeCell ref="A8:B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OBJETIVOS SST</vt:lpstr>
      <vt:lpstr>MEDICION OBJETIVOS SGSST</vt:lpstr>
      <vt:lpstr>'MEDICION OBJETIVOS SGSST'!Área_de_impresión</vt:lpstr>
      <vt:lpstr>'OBJETIVOS SST'!Área_de_impresión</vt:lpstr>
      <vt:lpstr>'MEDICION OBJETIVOS SGSST'!Títulos_a_imprimir</vt:lpstr>
      <vt:lpstr>'OBJETIVOS SST'!Títulos_a_imprimir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2021-09-01T15:02:07Z</cp:lastPrinted>
  <dcterms:created xsi:type="dcterms:W3CDTF">2021-09-01T04:05:42Z</dcterms:created>
  <dcterms:modified xsi:type="dcterms:W3CDTF">2023-02-16T01:49:26Z</dcterms:modified>
</cp:coreProperties>
</file>