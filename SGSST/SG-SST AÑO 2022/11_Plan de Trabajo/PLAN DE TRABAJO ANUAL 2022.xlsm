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F:\dayana\EXCAVACIONES CORREA MEJIA S.A.S\SGSST\SG-SST AÑO 2022\11_Plan de Trabajo\"/>
    </mc:Choice>
  </mc:AlternateContent>
  <xr:revisionPtr revIDLastSave="0" documentId="13_ncr:1_{CD3F04C1-80DF-444C-895A-A6B2EE4BD848}" xr6:coauthVersionLast="43" xr6:coauthVersionMax="43" xr10:uidLastSave="{00000000-0000-0000-0000-000000000000}"/>
  <bookViews>
    <workbookView xWindow="-120" yWindow="-120" windowWidth="20730" windowHeight="11160" tabRatio="584" xr2:uid="{00000000-000D-0000-FFFF-FFFF00000000}"/>
  </bookViews>
  <sheets>
    <sheet name=" Plan de Trabajo SST" sheetId="5" r:id="rId1"/>
  </sheets>
  <definedNames>
    <definedName name="_xlnm._FilterDatabase" localSheetId="0" hidden="1">' Plan de Trabajo SST'!$A$12:$AF$39</definedName>
    <definedName name="_xlnm.Print_Area" localSheetId="0">' Plan de Trabajo SST'!$A$1:$AD$64</definedName>
    <definedName name="_xlnm.Print_Titles" localSheetId="0">' Plan de Trabajo SST'!$10:$12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7" i="5" l="1"/>
  <c r="K37" i="5"/>
  <c r="C42" i="5" l="1"/>
  <c r="Z37" i="5"/>
  <c r="Z42" i="5" s="1"/>
  <c r="Y37" i="5"/>
  <c r="Y42" i="5" s="1"/>
  <c r="X37" i="5"/>
  <c r="X42" i="5" s="1"/>
  <c r="W37" i="5"/>
  <c r="W42" i="5" s="1"/>
  <c r="V37" i="5"/>
  <c r="V42" i="5" s="1"/>
  <c r="U37" i="5"/>
  <c r="U42" i="5" s="1"/>
  <c r="T37" i="5"/>
  <c r="T42" i="5" s="1"/>
  <c r="S37" i="5"/>
  <c r="S42" i="5" s="1"/>
  <c r="R37" i="5"/>
  <c r="R42" i="5" s="1"/>
  <c r="Q37" i="5"/>
  <c r="Q42" i="5" s="1"/>
  <c r="P37" i="5"/>
  <c r="P42" i="5" s="1"/>
  <c r="O37" i="5"/>
  <c r="O42" i="5" s="1"/>
  <c r="N37" i="5"/>
  <c r="N42" i="5" s="1"/>
  <c r="M37" i="5"/>
  <c r="M42" i="5" s="1"/>
  <c r="L37" i="5"/>
  <c r="L42" i="5" s="1"/>
  <c r="K42" i="5"/>
  <c r="J37" i="5"/>
  <c r="J42" i="5" s="1"/>
  <c r="I37" i="5"/>
  <c r="I42" i="5" s="1"/>
  <c r="H37" i="5"/>
  <c r="H42" i="5" s="1"/>
  <c r="G37" i="5"/>
  <c r="G42" i="5" s="1"/>
  <c r="F37" i="5"/>
  <c r="F42" i="5" s="1"/>
  <c r="E37" i="5"/>
  <c r="E42" i="5" s="1"/>
  <c r="D37" i="5"/>
  <c r="D42" i="5" s="1"/>
  <c r="G43" i="5" l="1"/>
  <c r="O43" i="5"/>
  <c r="E43" i="5"/>
  <c r="K43" i="5"/>
  <c r="Q43" i="5"/>
  <c r="W43" i="5"/>
  <c r="S43" i="5"/>
  <c r="Y43" i="5"/>
  <c r="U43" i="5"/>
  <c r="I43" i="5"/>
  <c r="M43" i="5"/>
  <c r="AB42" i="5"/>
  <c r="C43" i="5"/>
  <c r="AA42" i="5"/>
  <c r="AD42" i="5" l="1"/>
</calcChain>
</file>

<file path=xl/sharedStrings.xml><?xml version="1.0" encoding="utf-8"?>
<sst xmlns="http://schemas.openxmlformats.org/spreadsheetml/2006/main" count="173" uniqueCount="109">
  <si>
    <t>OBJETIVO</t>
  </si>
  <si>
    <t>INDICADOR</t>
  </si>
  <si>
    <t>P</t>
  </si>
  <si>
    <t>E</t>
  </si>
  <si>
    <t>CUMPLIMIENTO ANUAL</t>
  </si>
  <si>
    <t>META</t>
  </si>
  <si>
    <t>(Nº de Actividades Ejecutadas / Nº de Actividades Programadas) x 100</t>
  </si>
  <si>
    <t>% COBERTURA DEL PROGRAMA</t>
  </si>
  <si>
    <t xml:space="preserve">Responsable (s) </t>
  </si>
  <si>
    <t>OBSERVACIONES</t>
  </si>
  <si>
    <t>Total Actividades</t>
  </si>
  <si>
    <t>Actividades Programadas en el Mes</t>
  </si>
  <si>
    <t>JULIO</t>
  </si>
  <si>
    <t>AGOSTO</t>
  </si>
  <si>
    <t>SEPTIEMBRE</t>
  </si>
  <si>
    <t>OCTUBRE</t>
  </si>
  <si>
    <t>NOVIEMBRE</t>
  </si>
  <si>
    <t>ENERO</t>
  </si>
  <si>
    <t>FEBRERO</t>
  </si>
  <si>
    <t>MARZO</t>
  </si>
  <si>
    <t>ABRIL</t>
  </si>
  <si>
    <t>MAYO</t>
  </si>
  <si>
    <t>JUNIO</t>
  </si>
  <si>
    <t>DICIEMBRE</t>
  </si>
  <si>
    <t>% Cumplimiento Meta en el Mes</t>
  </si>
  <si>
    <t>Programado</t>
  </si>
  <si>
    <t>Ejecutado</t>
  </si>
  <si>
    <t>II HACER</t>
  </si>
  <si>
    <t>III VERIFICAR</t>
  </si>
  <si>
    <t>x</t>
  </si>
  <si>
    <t>RECURSOS</t>
  </si>
  <si>
    <t>Financieros</t>
  </si>
  <si>
    <t>IV ACTUAR</t>
  </si>
  <si>
    <t>I PLANEAR</t>
  </si>
  <si>
    <t xml:space="preserve">Humano </t>
  </si>
  <si>
    <t xml:space="preserve">Auditoria anual </t>
  </si>
  <si>
    <t>Seguimiento a ausentismo laboral</t>
  </si>
  <si>
    <t>Ciclo PHVA</t>
  </si>
  <si>
    <t>ACTIVIDADES</t>
  </si>
  <si>
    <t>Externo</t>
  </si>
  <si>
    <t>Gerencia</t>
  </si>
  <si>
    <t>Cumplimiento del 90% de las actividades planeadas</t>
  </si>
  <si>
    <t>Seguimiento al proceso de afiliación al Sistema General de Riesgos</t>
  </si>
  <si>
    <t>Socializar Política de seguridad y salud en el trabajo</t>
  </si>
  <si>
    <t>Informe de rendición de cuentas sobre desempeño SST</t>
  </si>
  <si>
    <t>Análisis de accidentalidad</t>
  </si>
  <si>
    <t>Análisis de indicadores</t>
  </si>
  <si>
    <t>Revisión anual por la Gerencia al SST</t>
  </si>
  <si>
    <t>ELABORO</t>
  </si>
  <si>
    <t>REVISO</t>
  </si>
  <si>
    <t>APROBO</t>
  </si>
  <si>
    <t xml:space="preserve">PLAN DE TRABAJO ANUAL DE SEGURIDAD Y SALUD EN EL TRABAJO </t>
  </si>
  <si>
    <t xml:space="preserve">Responsable del SG SST </t>
  </si>
  <si>
    <t>Responsable del SG SST</t>
  </si>
  <si>
    <t>PERIODO EVALUADO</t>
  </si>
  <si>
    <t>CRONOGRAMA</t>
  </si>
  <si>
    <t>Revision y actualizacion de todos los procedimientos desarrollados en el diseño del SG SST</t>
  </si>
  <si>
    <t>inspección de botiquín y extintores</t>
  </si>
  <si>
    <t>Realizar exámenes medico ocupacionales periodico</t>
  </si>
  <si>
    <t>MONITOREO DEL PLAN DE TRABAJO ANUAL /VIGENCIA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</si>
  <si>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</si>
  <si>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</si>
  <si>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</si>
  <si>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</si>
  <si>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</si>
  <si>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</si>
  <si>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</si>
  <si>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</si>
  <si>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</si>
  <si>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</si>
  <si>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</si>
  <si>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</si>
  <si>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% Ejecución Mensual</t>
  </si>
  <si>
    <t>1. CUMPLIMIENTO DEL PLAN DE TRABAJO ANUAL</t>
  </si>
  <si>
    <t>Implementar, Documentar  y ejecutar las actividades que se contemplen en el Sistema de Gestión de Seguridad y Salud en el Trabajo para dar cumpimiento a las metas y objetivos de conformidad con la normatividad legal vigente.</t>
  </si>
  <si>
    <t xml:space="preserve">Revisión y actualización (si lo requiere) de la Política de SST. </t>
  </si>
  <si>
    <t>Revisión y actualización (si lo requiere) de la Matriz de identificación de peligros, evaluación y valoración de los riesgos.</t>
  </si>
  <si>
    <t>Revisión y actualización (si lo requiere) de la Matriz Legal</t>
  </si>
  <si>
    <t xml:space="preserve">Se incluyen las capacitaciones para los COMITES. </t>
  </si>
  <si>
    <t>Revisión Plan de emergencia</t>
  </si>
  <si>
    <t>Implementar actividades para prevenir riesgo psicosocial</t>
  </si>
  <si>
    <t>Revisión de las medida correctivas preventivas y de mejora implementadas</t>
  </si>
  <si>
    <t>FECHA DE ELABORACIÓN</t>
  </si>
  <si>
    <t>Programar reuniones de Comité de Convivencia</t>
  </si>
  <si>
    <t>Realizar reuniones del Comité de Convivencia</t>
  </si>
  <si>
    <t>Responsable del SG SST/Comité de Convivencia</t>
  </si>
  <si>
    <t>SISTEMA DE GESTIÓN DE LA SEGURIDAD Y SALUD EN EL TRABAJO</t>
  </si>
  <si>
    <t>Fecha: 24/01/2020</t>
  </si>
  <si>
    <t>Versión 001</t>
  </si>
  <si>
    <t>Nombre:  Myriam Baron
Cargo: Abogada especialista en SST
Licencia: Resolucion 2403 de 2016.</t>
  </si>
  <si>
    <t>Nombre: Dayana Madroñero Diaz
Cargo: Profesional en SST 
Licencia: Resolución  1554 de 2020</t>
  </si>
  <si>
    <t>Nombre: Lina Maria Correa
Cargo: Gerente</t>
  </si>
  <si>
    <t>Página1 de 2</t>
  </si>
  <si>
    <t>ENERO - DICIEMBRE DEL AÑO 2022</t>
  </si>
  <si>
    <t>Programar reuniones de COPASST</t>
  </si>
  <si>
    <t>Elaboración Plan de Trabajo para el año 2022</t>
  </si>
  <si>
    <t>Elaboración del presupuesto anual vigencia 2022</t>
  </si>
  <si>
    <t>Realizar cronograma de capacitación para la vigencia año 2022</t>
  </si>
  <si>
    <t>Realizar reuniones del COPASST</t>
  </si>
  <si>
    <t>Responsable del SG SST/COPASST</t>
  </si>
  <si>
    <t>Gerencia, COPASST</t>
  </si>
  <si>
    <t>COPASST</t>
  </si>
  <si>
    <t>Gerencia / COPASST/ Responsable del SG SST</t>
  </si>
  <si>
    <t>Gerencia, Responsable del SG SST/COPASST</t>
  </si>
  <si>
    <t>ENERO 21 DE 2022</t>
  </si>
  <si>
    <t xml:space="preserve">Se construye en la primera reunión del COPASST en el año 2022, y se socializa. </t>
  </si>
  <si>
    <t xml:space="preserve">Se construye en la primera reunión del comite en el año 2022, y se socializa. </t>
  </si>
  <si>
    <t>Se reviso y socializo al copasst</t>
  </si>
  <si>
    <t>Se hizo Medevac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</si>
</sst>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€-2]* #,##0.00_-;\-[$€-2]* #,##0.00_-;_-[$€-2]* &quot;-&quot;??_-"/>
  </numFmts>
  <fonts count="25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Arial Narrow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b/>
      <sz val="14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color theme="2" tint="-0.89999084444715716"/>
      <name val="Arial"/>
      <family val="2"/>
    </font>
    <font>
      <b/>
      <sz val="12"/>
      <color theme="2" tint="-0.89999084444715716"/>
      <name val="Arial"/>
      <family val="2"/>
    </font>
    <font>
      <b/>
      <sz val="12"/>
      <color theme="1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7711111789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theme="0" tint="-0.24994659260841701"/>
      </left>
      <right style="medium">
        <color indexed="64"/>
      </right>
      <top style="medium">
        <color theme="0" tint="-0.249977111117893"/>
      </top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indexed="64"/>
      </right>
      <top style="thin">
        <color theme="0" tint="-0.24994659260841701"/>
      </top>
      <bottom style="medium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theme="0" tint="-0.249977111117893"/>
      </bottom>
      <diagonal/>
    </border>
    <border>
      <left/>
      <right/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indexed="64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medium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medium">
        <color indexed="64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thin">
        <color theme="0" tint="-0.249977111117893"/>
      </bottom>
      <diagonal/>
    </border>
    <border>
      <left/>
      <right/>
      <top style="medium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medium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0.249977111117893"/>
      </right>
      <top/>
      <bottom style="thin">
        <color theme="0" tint="-0.24994659260841701"/>
      </bottom>
      <diagonal/>
    </border>
  </borders>
  <cellStyleXfs count="38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0" borderId="2" applyNumberFormat="0" applyFill="0" applyAlignment="0" applyProtection="0"/>
    <xf numFmtId="0" fontId="5" fillId="0" borderId="0" applyNumberFormat="0" applyFill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20" borderId="0" applyNumberFormat="0" applyBorder="0" applyAlignment="0" applyProtection="0"/>
    <xf numFmtId="0" fontId="6" fillId="7" borderId="1" applyNumberFormat="0" applyAlignment="0" applyProtection="0"/>
    <xf numFmtId="164" fontId="7" fillId="0" borderId="0" applyFont="0" applyFill="0" applyBorder="0" applyAlignment="0" applyProtection="0"/>
    <xf numFmtId="0" fontId="8" fillId="3" borderId="0" applyNumberFormat="0" applyBorder="0" applyAlignment="0" applyProtection="0"/>
    <xf numFmtId="0" fontId="9" fillId="21" borderId="0" applyNumberFormat="0" applyBorder="0" applyAlignment="0" applyProtection="0"/>
    <xf numFmtId="0" fontId="10" fillId="0" borderId="0"/>
    <xf numFmtId="17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16" borderId="3" applyNumberFormat="0" applyAlignment="0" applyProtection="0"/>
    <xf numFmtId="0" fontId="12" fillId="0" borderId="0" applyNumberFormat="0" applyFill="0" applyBorder="0" applyAlignment="0" applyProtection="0"/>
    <xf numFmtId="0" fontId="13" fillId="0" borderId="4" applyNumberFormat="0" applyFill="0" applyAlignment="0" applyProtection="0"/>
  </cellStyleXfs>
  <cellXfs count="122">
    <xf numFmtId="0" fontId="0" fillId="0" borderId="0" xfId="0"/>
    <xf numFmtId="0" fontId="16" fillId="0" borderId="0" xfId="0" applyFont="1"/>
    <xf numFmtId="17" fontId="20" fillId="0" borderId="0" xfId="32" applyFont="1" applyFill="1" applyProtection="1">
      <protection locked="0"/>
    </xf>
    <xf numFmtId="0" fontId="15" fillId="0" borderId="20" xfId="0" applyFont="1" applyFill="1" applyBorder="1" applyAlignment="1">
      <alignment horizontal="center" vertical="center" wrapText="1"/>
    </xf>
    <xf numFmtId="0" fontId="16" fillId="0" borderId="0" xfId="0" applyFont="1" applyFill="1"/>
    <xf numFmtId="0" fontId="16" fillId="0" borderId="0" xfId="0" applyFont="1" applyAlignment="1">
      <alignment horizontal="center"/>
    </xf>
    <xf numFmtId="1" fontId="20" fillId="0" borderId="20" xfId="32" applyNumberFormat="1" applyFont="1" applyFill="1" applyBorder="1" applyAlignment="1" applyProtection="1">
      <alignment horizontal="center" vertical="center"/>
      <protection locked="0"/>
    </xf>
    <xf numFmtId="17" fontId="14" fillId="22" borderId="20" xfId="32" applyFont="1" applyFill="1" applyBorder="1" applyAlignment="1" applyProtection="1">
      <alignment horizontal="center" vertical="center"/>
    </xf>
    <xf numFmtId="0" fontId="16" fillId="0" borderId="21" xfId="0" applyFont="1" applyFill="1" applyBorder="1" applyAlignment="1">
      <alignment vertical="center" wrapText="1"/>
    </xf>
    <xf numFmtId="0" fontId="16" fillId="0" borderId="21" xfId="0" applyFont="1" applyFill="1" applyBorder="1" applyAlignment="1">
      <alignment vertical="center"/>
    </xf>
    <xf numFmtId="0" fontId="16" fillId="0" borderId="21" xfId="0" applyFont="1" applyFill="1" applyBorder="1" applyAlignment="1">
      <alignment horizontal="center" vertical="center" wrapText="1"/>
    </xf>
    <xf numFmtId="0" fontId="16" fillId="0" borderId="21" xfId="0" applyFont="1" applyFill="1" applyBorder="1" applyAlignment="1">
      <alignment horizontal="justify"/>
    </xf>
    <xf numFmtId="17" fontId="14" fillId="0" borderId="20" xfId="32" applyFont="1" applyFill="1" applyBorder="1" applyAlignment="1" applyProtection="1">
      <alignment horizontal="center" vertical="center"/>
    </xf>
    <xf numFmtId="1" fontId="20" fillId="23" borderId="20" xfId="32" applyNumberFormat="1" applyFont="1" applyFill="1" applyBorder="1" applyAlignment="1" applyProtection="1">
      <alignment horizontal="center" vertical="center"/>
      <protection locked="0"/>
    </xf>
    <xf numFmtId="1" fontId="20" fillId="23" borderId="22" xfId="32" applyNumberFormat="1" applyFont="1" applyFill="1" applyBorder="1" applyAlignment="1" applyProtection="1">
      <alignment horizontal="center" vertical="center"/>
      <protection locked="0"/>
    </xf>
    <xf numFmtId="0" fontId="16" fillId="0" borderId="23" xfId="0" applyNumberFormat="1" applyFont="1" applyFill="1" applyBorder="1" applyAlignment="1">
      <alignment horizontal="center" vertical="center" wrapText="1"/>
    </xf>
    <xf numFmtId="0" fontId="21" fillId="0" borderId="0" xfId="0" applyFont="1"/>
    <xf numFmtId="0" fontId="15" fillId="0" borderId="0" xfId="0" applyFont="1"/>
    <xf numFmtId="0" fontId="15" fillId="0" borderId="0" xfId="0" applyFont="1" applyAlignment="1">
      <alignment vertical="center"/>
    </xf>
    <xf numFmtId="1" fontId="20" fillId="0" borderId="24" xfId="32" applyNumberFormat="1" applyFont="1" applyFill="1" applyBorder="1" applyAlignment="1" applyProtection="1">
      <alignment horizontal="center" vertical="center"/>
      <protection locked="0"/>
    </xf>
    <xf numFmtId="17" fontId="22" fillId="0" borderId="25" xfId="32" applyFont="1" applyFill="1" applyBorder="1" applyAlignment="1" applyProtection="1">
      <alignment horizontal="center" vertical="center" wrapText="1"/>
      <protection locked="0"/>
    </xf>
    <xf numFmtId="0" fontId="16" fillId="0" borderId="26" xfId="0" applyFont="1" applyFill="1" applyBorder="1" applyAlignment="1">
      <alignment horizontal="left" vertical="center" wrapText="1"/>
    </xf>
    <xf numFmtId="1" fontId="20" fillId="0" borderId="26" xfId="32" applyNumberFormat="1" applyFont="1" applyFill="1" applyBorder="1" applyAlignment="1" applyProtection="1">
      <alignment horizontal="center" vertical="center"/>
      <protection locked="0"/>
    </xf>
    <xf numFmtId="17" fontId="22" fillId="0" borderId="27" xfId="32" applyFont="1" applyFill="1" applyBorder="1" applyAlignment="1" applyProtection="1">
      <alignment horizontal="center" vertical="center" wrapText="1"/>
      <protection locked="0"/>
    </xf>
    <xf numFmtId="1" fontId="20" fillId="0" borderId="28" xfId="32" applyNumberFormat="1" applyFont="1" applyFill="1" applyBorder="1" applyAlignment="1" applyProtection="1">
      <alignment horizontal="center" vertical="center"/>
      <protection locked="0"/>
    </xf>
    <xf numFmtId="1" fontId="20" fillId="22" borderId="28" xfId="32" applyNumberFormat="1" applyFont="1" applyFill="1" applyBorder="1" applyAlignment="1" applyProtection="1">
      <alignment horizontal="center" vertical="center"/>
      <protection locked="0"/>
    </xf>
    <xf numFmtId="17" fontId="23" fillId="0" borderId="29" xfId="32" applyFont="1" applyFill="1" applyBorder="1" applyAlignment="1" applyProtection="1">
      <alignment vertical="center" wrapText="1"/>
      <protection locked="0"/>
    </xf>
    <xf numFmtId="0" fontId="16" fillId="0" borderId="30" xfId="0" applyFont="1" applyFill="1" applyBorder="1" applyAlignment="1">
      <alignment horizontal="left" vertical="center" wrapText="1"/>
    </xf>
    <xf numFmtId="9" fontId="18" fillId="0" borderId="31" xfId="33" applyFont="1" applyFill="1" applyBorder="1" applyAlignment="1">
      <alignment horizontal="center" vertical="center"/>
    </xf>
    <xf numFmtId="9" fontId="15" fillId="0" borderId="32" xfId="33" applyFont="1" applyFill="1" applyBorder="1" applyAlignment="1">
      <alignment horizontal="center" vertical="center"/>
    </xf>
    <xf numFmtId="9" fontId="15" fillId="0" borderId="33" xfId="0" applyNumberFormat="1" applyFont="1" applyFill="1" applyBorder="1" applyAlignment="1">
      <alignment horizontal="center" vertical="center" wrapText="1"/>
    </xf>
    <xf numFmtId="0" fontId="17" fillId="0" borderId="5" xfId="0" applyFont="1" applyBorder="1" applyAlignment="1">
      <alignment vertical="center" wrapText="1"/>
    </xf>
    <xf numFmtId="0" fontId="15" fillId="0" borderId="38" xfId="0" applyFont="1" applyBorder="1" applyAlignment="1"/>
    <xf numFmtId="0" fontId="16" fillId="0" borderId="39" xfId="0" applyFont="1" applyBorder="1" applyAlignment="1"/>
    <xf numFmtId="0" fontId="16" fillId="0" borderId="0" xfId="0" applyFont="1" applyBorder="1" applyAlignment="1"/>
    <xf numFmtId="0" fontId="16" fillId="0" borderId="15" xfId="0" applyFont="1" applyBorder="1" applyAlignment="1"/>
    <xf numFmtId="0" fontId="16" fillId="0" borderId="16" xfId="0" applyFont="1" applyBorder="1" applyAlignment="1"/>
    <xf numFmtId="0" fontId="16" fillId="0" borderId="17" xfId="0" applyFont="1" applyBorder="1" applyAlignment="1"/>
    <xf numFmtId="0" fontId="16" fillId="0" borderId="18" xfId="0" applyFont="1" applyBorder="1" applyAlignment="1"/>
    <xf numFmtId="0" fontId="16" fillId="0" borderId="19" xfId="0" applyFont="1" applyBorder="1" applyAlignment="1"/>
    <xf numFmtId="0" fontId="15" fillId="0" borderId="54" xfId="0" applyFont="1" applyFill="1" applyBorder="1" applyAlignment="1">
      <alignment horizontal="center" vertical="center"/>
    </xf>
    <xf numFmtId="0" fontId="15" fillId="0" borderId="55" xfId="0" applyFont="1" applyFill="1" applyBorder="1" applyAlignment="1">
      <alignment horizontal="center" vertical="center"/>
    </xf>
    <xf numFmtId="0" fontId="15" fillId="0" borderId="56" xfId="0" applyFont="1" applyFill="1" applyBorder="1" applyAlignment="1">
      <alignment horizontal="center" vertical="center"/>
    </xf>
    <xf numFmtId="17" fontId="16" fillId="0" borderId="22" xfId="32" applyFont="1" applyFill="1" applyBorder="1" applyAlignment="1" applyProtection="1">
      <alignment horizontal="center" vertical="center"/>
    </xf>
    <xf numFmtId="17" fontId="16" fillId="0" borderId="34" xfId="32" applyFont="1" applyFill="1" applyBorder="1" applyAlignment="1" applyProtection="1">
      <alignment horizontal="center" vertical="center"/>
    </xf>
    <xf numFmtId="0" fontId="15" fillId="26" borderId="50" xfId="0" applyFont="1" applyFill="1" applyBorder="1" applyAlignment="1">
      <alignment horizontal="center" vertical="center" textRotation="90" wrapText="1"/>
    </xf>
    <xf numFmtId="0" fontId="15" fillId="0" borderId="6" xfId="0" applyFont="1" applyBorder="1" applyAlignment="1">
      <alignment horizontal="center" vertical="center"/>
    </xf>
    <xf numFmtId="17" fontId="15" fillId="24" borderId="5" xfId="32" applyFont="1" applyFill="1" applyBorder="1" applyAlignment="1" applyProtection="1">
      <alignment horizontal="center" vertical="center"/>
    </xf>
    <xf numFmtId="17" fontId="15" fillId="24" borderId="13" xfId="32" applyFont="1" applyFill="1" applyBorder="1" applyAlignment="1" applyProtection="1">
      <alignment horizontal="center" vertical="center"/>
    </xf>
    <xf numFmtId="17" fontId="15" fillId="24" borderId="18" xfId="32" applyFont="1" applyFill="1" applyBorder="1" applyAlignment="1" applyProtection="1">
      <alignment horizontal="center" vertical="center"/>
    </xf>
    <xf numFmtId="17" fontId="15" fillId="24" borderId="19" xfId="32" applyFont="1" applyFill="1" applyBorder="1" applyAlignment="1" applyProtection="1">
      <alignment horizontal="center" vertical="center"/>
    </xf>
    <xf numFmtId="17" fontId="14" fillId="0" borderId="57" xfId="32" applyFont="1" applyFill="1" applyBorder="1" applyAlignment="1" applyProtection="1">
      <alignment horizontal="center" vertical="center" textRotation="90" wrapText="1"/>
    </xf>
    <xf numFmtId="17" fontId="14" fillId="0" borderId="45" xfId="32" applyFont="1" applyFill="1" applyBorder="1" applyAlignment="1" applyProtection="1">
      <alignment horizontal="center" vertical="center" textRotation="90" wrapText="1"/>
    </xf>
    <xf numFmtId="17" fontId="14" fillId="0" borderId="58" xfId="32" applyFont="1" applyFill="1" applyBorder="1" applyAlignment="1" applyProtection="1">
      <alignment horizontal="center" vertical="center" textRotation="90" wrapText="1"/>
    </xf>
    <xf numFmtId="17" fontId="14" fillId="0" borderId="20" xfId="32" applyFont="1" applyFill="1" applyBorder="1" applyAlignment="1" applyProtection="1">
      <alignment horizontal="center" vertical="center" textRotation="90"/>
    </xf>
    <xf numFmtId="0" fontId="15" fillId="27" borderId="50" xfId="0" applyFont="1" applyFill="1" applyBorder="1" applyAlignment="1">
      <alignment horizontal="center" vertical="center" textRotation="90" wrapText="1"/>
    </xf>
    <xf numFmtId="17" fontId="14" fillId="0" borderId="22" xfId="32" applyFont="1" applyFill="1" applyBorder="1" applyAlignment="1" applyProtection="1">
      <alignment horizontal="center" vertical="center" wrapText="1"/>
    </xf>
    <xf numFmtId="17" fontId="14" fillId="0" borderId="34" xfId="32" applyFont="1" applyFill="1" applyBorder="1" applyAlignment="1" applyProtection="1">
      <alignment horizontal="center" vertical="center" wrapText="1"/>
    </xf>
    <xf numFmtId="17" fontId="14" fillId="0" borderId="49" xfId="32" applyFont="1" applyFill="1" applyBorder="1" applyAlignment="1" applyProtection="1">
      <alignment horizontal="center" vertical="center" wrapText="1"/>
    </xf>
    <xf numFmtId="17" fontId="14" fillId="0" borderId="20" xfId="32" applyFont="1" applyFill="1" applyBorder="1" applyAlignment="1" applyProtection="1">
      <alignment horizontal="center" vertical="center" wrapText="1"/>
    </xf>
    <xf numFmtId="17" fontId="14" fillId="0" borderId="53" xfId="32" applyFont="1" applyFill="1" applyBorder="1" applyAlignment="1" applyProtection="1">
      <alignment horizontal="center" vertical="center" wrapText="1"/>
    </xf>
    <xf numFmtId="0" fontId="16" fillId="0" borderId="5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5" fillId="24" borderId="52" xfId="0" applyFont="1" applyFill="1" applyBorder="1" applyAlignment="1">
      <alignment horizontal="center" vertical="center" textRotation="90" wrapText="1"/>
    </xf>
    <xf numFmtId="0" fontId="15" fillId="24" borderId="50" xfId="0" applyFont="1" applyFill="1" applyBorder="1" applyAlignment="1">
      <alignment horizontal="center" vertical="center" textRotation="90" wrapText="1"/>
    </xf>
    <xf numFmtId="17" fontId="14" fillId="0" borderId="49" xfId="32" applyFont="1" applyFill="1" applyBorder="1" applyAlignment="1" applyProtection="1">
      <alignment horizontal="center" vertical="center"/>
    </xf>
    <xf numFmtId="1" fontId="15" fillId="0" borderId="20" xfId="0" applyNumberFormat="1" applyFont="1" applyFill="1" applyBorder="1" applyAlignment="1">
      <alignment horizontal="center" vertical="center"/>
    </xf>
    <xf numFmtId="1" fontId="15" fillId="0" borderId="22" xfId="0" applyNumberFormat="1" applyFont="1" applyFill="1" applyBorder="1" applyAlignment="1">
      <alignment horizontal="center" vertical="center"/>
    </xf>
    <xf numFmtId="17" fontId="16" fillId="0" borderId="35" xfId="32" applyFont="1" applyFill="1" applyBorder="1" applyAlignment="1" applyProtection="1">
      <alignment horizontal="center" vertical="center"/>
    </xf>
    <xf numFmtId="0" fontId="16" fillId="0" borderId="43" xfId="0" applyFont="1" applyBorder="1" applyAlignment="1">
      <alignment horizontal="center" wrapText="1"/>
    </xf>
    <xf numFmtId="0" fontId="16" fillId="0" borderId="0" xfId="0" applyFont="1" applyBorder="1" applyAlignment="1">
      <alignment horizontal="center" wrapText="1"/>
    </xf>
    <xf numFmtId="0" fontId="16" fillId="0" borderId="44" xfId="0" applyFont="1" applyBorder="1" applyAlignment="1">
      <alignment horizontal="center" wrapText="1"/>
    </xf>
    <xf numFmtId="0" fontId="15" fillId="24" borderId="5" xfId="0" applyFont="1" applyFill="1" applyBorder="1" applyAlignment="1">
      <alignment horizontal="center" vertical="center"/>
    </xf>
    <xf numFmtId="0" fontId="15" fillId="24" borderId="13" xfId="0" applyFont="1" applyFill="1" applyBorder="1" applyAlignment="1">
      <alignment horizontal="center" vertical="center"/>
    </xf>
    <xf numFmtId="0" fontId="15" fillId="24" borderId="14" xfId="0" applyFont="1" applyFill="1" applyBorder="1" applyAlignment="1">
      <alignment horizontal="center" vertical="center"/>
    </xf>
    <xf numFmtId="0" fontId="16" fillId="23" borderId="45" xfId="0" applyFont="1" applyFill="1" applyBorder="1" applyAlignment="1">
      <alignment horizontal="center" vertical="center" wrapText="1"/>
    </xf>
    <xf numFmtId="0" fontId="16" fillId="23" borderId="46" xfId="0" applyFont="1" applyFill="1" applyBorder="1" applyAlignment="1">
      <alignment horizontal="center" vertical="center" wrapText="1"/>
    </xf>
    <xf numFmtId="0" fontId="16" fillId="23" borderId="47" xfId="0" applyFont="1" applyFill="1" applyBorder="1" applyAlignment="1">
      <alignment horizontal="center" vertical="center" wrapText="1"/>
    </xf>
    <xf numFmtId="0" fontId="15" fillId="0" borderId="48" xfId="0" applyFont="1" applyFill="1" applyBorder="1" applyAlignment="1">
      <alignment horizontal="center" vertical="center" wrapText="1"/>
    </xf>
    <xf numFmtId="0" fontId="15" fillId="0" borderId="28" xfId="0" applyFont="1" applyFill="1" applyBorder="1" applyAlignment="1">
      <alignment horizontal="center" vertical="center" wrapText="1"/>
    </xf>
    <xf numFmtId="17" fontId="14" fillId="0" borderId="20" xfId="32" applyFont="1" applyFill="1" applyBorder="1" applyAlignment="1" applyProtection="1">
      <alignment horizontal="center" vertical="center"/>
    </xf>
    <xf numFmtId="0" fontId="15" fillId="25" borderId="50" xfId="0" applyFont="1" applyFill="1" applyBorder="1" applyAlignment="1">
      <alignment horizontal="center" vertical="center" textRotation="90" wrapText="1"/>
    </xf>
    <xf numFmtId="17" fontId="14" fillId="0" borderId="51" xfId="32" applyFont="1" applyFill="1" applyBorder="1" applyAlignment="1" applyProtection="1">
      <alignment horizontal="center" vertical="center"/>
    </xf>
    <xf numFmtId="17" fontId="14" fillId="0" borderId="21" xfId="32" applyFont="1" applyFill="1" applyBorder="1" applyAlignment="1" applyProtection="1">
      <alignment horizontal="center" vertical="center"/>
    </xf>
    <xf numFmtId="9" fontId="24" fillId="0" borderId="22" xfId="33" applyFont="1" applyFill="1" applyBorder="1" applyAlignment="1" applyProtection="1">
      <alignment horizontal="center" vertical="center"/>
      <protection locked="0"/>
    </xf>
    <xf numFmtId="9" fontId="24" fillId="0" borderId="34" xfId="33" applyFont="1" applyFill="1" applyBorder="1" applyAlignment="1" applyProtection="1">
      <alignment horizontal="center" vertical="center"/>
      <protection locked="0"/>
    </xf>
    <xf numFmtId="9" fontId="20" fillId="0" borderId="22" xfId="33" applyFont="1" applyFill="1" applyBorder="1" applyAlignment="1" applyProtection="1">
      <alignment horizontal="center" vertical="center"/>
      <protection locked="0"/>
    </xf>
    <xf numFmtId="9" fontId="20" fillId="0" borderId="34" xfId="33" applyFont="1" applyFill="1" applyBorder="1" applyAlignment="1" applyProtection="1">
      <alignment horizontal="center" vertical="center"/>
      <protection locked="0"/>
    </xf>
    <xf numFmtId="1" fontId="15" fillId="0" borderId="42" xfId="0" applyNumberFormat="1" applyFont="1" applyFill="1" applyBorder="1" applyAlignment="1">
      <alignment horizontal="center" vertical="center"/>
    </xf>
    <xf numFmtId="0" fontId="15" fillId="0" borderId="40" xfId="0" applyFont="1" applyFill="1" applyBorder="1" applyAlignment="1">
      <alignment horizontal="center" vertical="center" wrapText="1"/>
    </xf>
    <xf numFmtId="0" fontId="15" fillId="0" borderId="35" xfId="0" applyFont="1" applyFill="1" applyBorder="1" applyAlignment="1">
      <alignment horizontal="center" vertical="center" wrapText="1"/>
    </xf>
    <xf numFmtId="0" fontId="15" fillId="0" borderId="34" xfId="0" applyFont="1" applyFill="1" applyBorder="1" applyAlignment="1">
      <alignment horizontal="center" vertical="center" wrapText="1"/>
    </xf>
    <xf numFmtId="0" fontId="15" fillId="0" borderId="38" xfId="0" applyFont="1" applyFill="1" applyBorder="1" applyAlignment="1">
      <alignment horizontal="center" vertical="center" wrapText="1"/>
    </xf>
    <xf numFmtId="0" fontId="15" fillId="0" borderId="39" xfId="0" applyFont="1" applyFill="1" applyBorder="1" applyAlignment="1">
      <alignment horizontal="center" vertical="center" wrapText="1"/>
    </xf>
    <xf numFmtId="0" fontId="15" fillId="0" borderId="41" xfId="0" applyFont="1" applyFill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40" xfId="0" applyFont="1" applyFill="1" applyBorder="1" applyAlignment="1">
      <alignment horizontal="justify" vertical="center" wrapText="1"/>
    </xf>
    <xf numFmtId="0" fontId="16" fillId="0" borderId="34" xfId="0" applyFont="1" applyFill="1" applyBorder="1" applyAlignment="1">
      <alignment horizontal="justify" vertical="center" wrapText="1"/>
    </xf>
    <xf numFmtId="0" fontId="16" fillId="0" borderId="40" xfId="0" applyFont="1" applyFill="1" applyBorder="1" applyAlignment="1">
      <alignment horizontal="center"/>
    </xf>
    <xf numFmtId="0" fontId="16" fillId="0" borderId="35" xfId="0" applyFont="1" applyFill="1" applyBorder="1" applyAlignment="1">
      <alignment horizontal="center"/>
    </xf>
    <xf numFmtId="0" fontId="16" fillId="0" borderId="39" xfId="0" applyFont="1" applyFill="1" applyBorder="1" applyAlignment="1">
      <alignment horizontal="center"/>
    </xf>
    <xf numFmtId="0" fontId="16" fillId="0" borderId="41" xfId="0" applyFont="1" applyFill="1" applyBorder="1" applyAlignment="1">
      <alignment horizontal="center"/>
    </xf>
    <xf numFmtId="9" fontId="20" fillId="0" borderId="35" xfId="33" applyFont="1" applyFill="1" applyBorder="1" applyAlignment="1" applyProtection="1">
      <alignment horizontal="center" vertical="center"/>
      <protection locked="0"/>
    </xf>
    <xf numFmtId="0" fontId="15" fillId="0" borderId="12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6" fillId="0" borderId="36" xfId="0" applyNumberFormat="1" applyFont="1" applyFill="1" applyBorder="1" applyAlignment="1">
      <alignment horizontal="center" vertical="center" wrapText="1"/>
    </xf>
    <xf numFmtId="0" fontId="16" fillId="0" borderId="37" xfId="0" applyNumberFormat="1" applyFont="1" applyFill="1" applyBorder="1" applyAlignment="1">
      <alignment horizontal="center" vertical="center" wrapText="1"/>
    </xf>
    <xf numFmtId="9" fontId="24" fillId="0" borderId="35" xfId="33" applyFont="1" applyFill="1" applyBorder="1" applyAlignment="1" applyProtection="1">
      <alignment horizontal="center" vertical="center"/>
      <protection locked="0"/>
    </xf>
    <xf numFmtId="0" fontId="15" fillId="0" borderId="40" xfId="0" applyFont="1" applyFill="1" applyBorder="1" applyAlignment="1">
      <alignment horizontal="justify" vertical="center" wrapText="1"/>
    </xf>
    <xf numFmtId="0" fontId="15" fillId="0" borderId="34" xfId="0" applyFont="1" applyFill="1" applyBorder="1" applyAlignment="1">
      <alignment horizontal="justify" vertical="center" wrapText="1"/>
    </xf>
    <xf numFmtId="0" fontId="19" fillId="0" borderId="7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wrapText="1"/>
    </xf>
    <xf numFmtId="0" fontId="15" fillId="0" borderId="8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17" fillId="0" borderId="6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/>
    </xf>
    <xf numFmtId="0" fontId="17" fillId="0" borderId="6" xfId="0" applyFont="1" applyBorder="1" applyAlignment="1">
      <alignment horizontal="left" vertical="center" wrapText="1"/>
    </xf>
  </cellXfs>
  <cellStyles count="38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Celda vinculada" xfId="19" builtinId="24" customBuiltin="1"/>
    <cellStyle name="Encabezado 4" xfId="20" builtinId="19" customBuiltin="1"/>
    <cellStyle name="Énfasis1" xfId="21" builtinId="29" customBuiltin="1"/>
    <cellStyle name="Énfasis2" xfId="22" builtinId="33" customBuiltin="1"/>
    <cellStyle name="Énfasis3" xfId="23" builtinId="37" customBuiltin="1"/>
    <cellStyle name="Énfasis4" xfId="24" builtinId="41" customBuiltin="1"/>
    <cellStyle name="Énfasis5" xfId="25" builtinId="45" customBuiltin="1"/>
    <cellStyle name="Énfasis6" xfId="26" builtinId="49" customBuiltin="1"/>
    <cellStyle name="Entrada" xfId="27" builtinId="20" customBuiltin="1"/>
    <cellStyle name="Euro" xfId="28" xr:uid="{00000000-0005-0000-0000-00001B000000}"/>
    <cellStyle name="Incorrecto" xfId="29" builtinId="27" customBuiltin="1"/>
    <cellStyle name="Neutral" xfId="30" builtinId="28" customBuiltin="1"/>
    <cellStyle name="Normal" xfId="0" builtinId="0"/>
    <cellStyle name="Normal 2" xfId="31" xr:uid="{00000000-0005-0000-0000-00001F000000}"/>
    <cellStyle name="Normal 3" xfId="32" xr:uid="{00000000-0005-0000-0000-000020000000}"/>
    <cellStyle name="Porcentaje" xfId="33" builtinId="5"/>
    <cellStyle name="Porcentual 2" xfId="34" xr:uid="{00000000-0005-0000-0000-000022000000}"/>
    <cellStyle name="Salida" xfId="35" builtinId="21" customBuiltin="1"/>
    <cellStyle name="Título" xfId="36" builtinId="15" customBuiltin="1"/>
    <cellStyle name="Total" xfId="37" builtinId="25" customBuiltin="1"/>
  </cellStyles>
  <dxfs count="40"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Seguimiento al Cumplimiento del plan de Trabajo del SGSST Vigencia</a:t>
            </a:r>
          </a:p>
        </c:rich>
      </c:tx>
      <c:layout>
        <c:manualLayout>
          <c:xMode val="edge"/>
          <c:yMode val="edge"/>
          <c:x val="0.1260931067827048"/>
          <c:y val="4.2595776445375516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 Cumplimiento Mensual</c:v>
          </c:tx>
          <c:spPr>
            <a:ln w="12700">
              <a:solidFill>
                <a:srgbClr val="99CC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92D050"/>
              </a:solidFill>
              <a:ln>
                <a:solidFill>
                  <a:srgbClr val="99CC00"/>
                </a:solidFill>
                <a:prstDash val="solid"/>
              </a:ln>
            </c:spPr>
          </c:marker>
          <c:cat>
            <c:strRef>
              <c:f>' Plan de Trabajo SST'!$C$41:$Z$41</c:f>
              <c:strCache>
                <c:ptCount val="23"/>
                <c:pt idx="0">
                  <c:v>ENE</c:v>
                </c:pt>
                <c:pt idx="2">
                  <c:v>FEB</c:v>
                </c:pt>
                <c:pt idx="4">
                  <c:v>MAR</c:v>
                </c:pt>
                <c:pt idx="6">
                  <c:v>ABR</c:v>
                </c:pt>
                <c:pt idx="8">
                  <c:v>MAY</c:v>
                </c:pt>
                <c:pt idx="10">
                  <c:v>JUN</c:v>
                </c:pt>
                <c:pt idx="12">
                  <c:v>JUL</c:v>
                </c:pt>
                <c:pt idx="14">
                  <c:v>AGO</c:v>
                </c:pt>
                <c:pt idx="16">
                  <c:v>SEP</c:v>
                </c:pt>
                <c:pt idx="18">
                  <c:v>OCT</c:v>
                </c:pt>
                <c:pt idx="20">
                  <c:v>NOV</c:v>
                </c:pt>
                <c:pt idx="22">
                  <c:v>DIC</c:v>
                </c:pt>
              </c:strCache>
            </c:strRef>
          </c:cat>
          <c:val>
            <c:numRef>
              <c:f>' Plan de Trabajo SST'!$C$43:$Z$43</c:f>
              <c:numCache>
                <c:formatCode>0%</c:formatCode>
                <c:ptCount val="24"/>
                <c:pt idx="0">
                  <c:v>1</c:v>
                </c:pt>
                <c:pt idx="2">
                  <c:v>1</c:v>
                </c:pt>
                <c:pt idx="4">
                  <c:v>1</c:v>
                </c:pt>
                <c:pt idx="6">
                  <c:v>0.75</c:v>
                </c:pt>
                <c:pt idx="8">
                  <c:v>1</c:v>
                </c:pt>
                <c:pt idx="10">
                  <c:v>1</c:v>
                </c:pt>
                <c:pt idx="12">
                  <c:v>0.66666666666666663</c:v>
                </c:pt>
                <c:pt idx="14">
                  <c:v>0.8</c:v>
                </c:pt>
                <c:pt idx="16">
                  <c:v>1</c:v>
                </c:pt>
                <c:pt idx="18">
                  <c:v>0.75</c:v>
                </c:pt>
                <c:pt idx="20">
                  <c:v>0.83333333333333337</c:v>
                </c:pt>
                <c:pt idx="2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0B-47D8-9833-D0147C52A659}"/>
            </c:ext>
          </c:extLst>
        </c:ser>
        <c:ser>
          <c:idx val="1"/>
          <c:order val="1"/>
          <c:tx>
            <c:v>Meta Vigencia</c:v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' Plan de Trabajo SST'!$C$41:$Z$41</c:f>
              <c:strCache>
                <c:ptCount val="23"/>
                <c:pt idx="0">
                  <c:v>ENE</c:v>
                </c:pt>
                <c:pt idx="2">
                  <c:v>FEB</c:v>
                </c:pt>
                <c:pt idx="4">
                  <c:v>MAR</c:v>
                </c:pt>
                <c:pt idx="6">
                  <c:v>ABR</c:v>
                </c:pt>
                <c:pt idx="8">
                  <c:v>MAY</c:v>
                </c:pt>
                <c:pt idx="10">
                  <c:v>JUN</c:v>
                </c:pt>
                <c:pt idx="12">
                  <c:v>JUL</c:v>
                </c:pt>
                <c:pt idx="14">
                  <c:v>AGO</c:v>
                </c:pt>
                <c:pt idx="16">
                  <c:v>SEP</c:v>
                </c:pt>
                <c:pt idx="18">
                  <c:v>OCT</c:v>
                </c:pt>
                <c:pt idx="20">
                  <c:v>NOV</c:v>
                </c:pt>
                <c:pt idx="22">
                  <c:v>DIC</c:v>
                </c:pt>
              </c:strCache>
            </c:strRef>
          </c:cat>
          <c:val>
            <c:numRef>
              <c:f>' Plan de Trabajo SST'!$C$44:$Z$44</c:f>
              <c:numCache>
                <c:formatCode>0%</c:formatCode>
                <c:ptCount val="24"/>
                <c:pt idx="0">
                  <c:v>0.9</c:v>
                </c:pt>
                <c:pt idx="2">
                  <c:v>0.9</c:v>
                </c:pt>
                <c:pt idx="4">
                  <c:v>0.9</c:v>
                </c:pt>
                <c:pt idx="6">
                  <c:v>0.9</c:v>
                </c:pt>
                <c:pt idx="8">
                  <c:v>0.9</c:v>
                </c:pt>
                <c:pt idx="10">
                  <c:v>0.9</c:v>
                </c:pt>
                <c:pt idx="12">
                  <c:v>0.9</c:v>
                </c:pt>
                <c:pt idx="14">
                  <c:v>0.9</c:v>
                </c:pt>
                <c:pt idx="16">
                  <c:v>0.9</c:v>
                </c:pt>
                <c:pt idx="18">
                  <c:v>0.9</c:v>
                </c:pt>
                <c:pt idx="20">
                  <c:v>0.9</c:v>
                </c:pt>
                <c:pt idx="22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0B-47D8-9833-D0147C52A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3378832"/>
        <c:axId val="1543383184"/>
      </c:lineChart>
      <c:catAx>
        <c:axId val="154337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83184"/>
        <c:crosses val="autoZero"/>
        <c:auto val="1"/>
        <c:lblAlgn val="ctr"/>
        <c:lblOffset val="100"/>
        <c:noMultiLvlLbl val="0"/>
      </c:catAx>
      <c:valAx>
        <c:axId val="154338318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CO"/>
                  <a:t>%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7883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1026536814477137"/>
          <c:y val="0.50950580718694571"/>
          <c:w val="0.27152327669567622"/>
          <c:h val="0.1749049258750913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4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0"/>
    <c:dispBlanksAs val="span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 alignWithMargins="0"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2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% Cumplimiento de Ejecución del SGSST Vigencia</a:t>
            </a:r>
          </a:p>
        </c:rich>
      </c:tx>
      <c:layout>
        <c:manualLayout>
          <c:xMode val="edge"/>
          <c:yMode val="edge"/>
          <c:x val="0.23150666262870986"/>
          <c:y val="4.8387107099417452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% Cumplimiento</c:v>
          </c:tx>
          <c:spPr>
            <a:solidFill>
              <a:srgbClr val="92D050"/>
            </a:solidFill>
            <a:ln w="25400">
              <a:noFill/>
            </a:ln>
          </c:spPr>
          <c:invertIfNegative val="0"/>
          <c:dLbls>
            <c:dLbl>
              <c:idx val="0"/>
              <c:layout>
                <c:manualLayout>
                  <c:x val="2.6402640264026406E-2"/>
                  <c:y val="-0.1022880215343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76-43BC-B8C6-B4BE5D61FCE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% Cumplimiento</c:v>
              </c:pt>
            </c:strLit>
          </c:cat>
          <c:val>
            <c:numRef>
              <c:f>' Plan de Trabajo SST'!$AD$42</c:f>
              <c:numCache>
                <c:formatCode>0%</c:formatCode>
                <c:ptCount val="1"/>
                <c:pt idx="0">
                  <c:v>0.90909090909090906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76-43BC-B8C6-B4BE5D61FCED}"/>
            </c:ext>
          </c:extLst>
        </c:ser>
        <c:ser>
          <c:idx val="2"/>
          <c:order val="1"/>
          <c:tx>
            <c:v>% Meta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C576-43BC-B8C6-B4BE5D61FCED}"/>
              </c:ext>
            </c:extLst>
          </c:dPt>
          <c:dLbls>
            <c:dLbl>
              <c:idx val="0"/>
              <c:layout>
                <c:manualLayout>
                  <c:x val="5.940594059405941E-2"/>
                  <c:y val="-0.1022880215343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76-43BC-B8C6-B4BE5D61FCE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% Cumplimiento</c:v>
              </c:pt>
            </c:strLit>
          </c:cat>
          <c:val>
            <c:numRef>
              <c:f>' Plan de Trabajo SST'!$AD$44</c:f>
              <c:numCache>
                <c:formatCode>0%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576-43BC-B8C6-B4BE5D61F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43384816"/>
        <c:axId val="1543385360"/>
        <c:axId val="0"/>
      </c:bar3DChart>
      <c:catAx>
        <c:axId val="154338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85360"/>
        <c:crosses val="autoZero"/>
        <c:auto val="1"/>
        <c:lblAlgn val="ctr"/>
        <c:lblOffset val="100"/>
        <c:noMultiLvlLbl val="0"/>
      </c:catAx>
      <c:valAx>
        <c:axId val="154338536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%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84816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551467124301773"/>
          <c:y val="0.57954740413545869"/>
          <c:w val="0.20391530385624879"/>
          <c:h val="0.2045461238076947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 alignWithMargins="0"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45</xdr:row>
      <xdr:rowOff>0</xdr:rowOff>
    </xdr:from>
    <xdr:to>
      <xdr:col>16</xdr:col>
      <xdr:colOff>209550</xdr:colOff>
      <xdr:row>61</xdr:row>
      <xdr:rowOff>66675</xdr:rowOff>
    </xdr:to>
    <xdr:graphicFrame macro="">
      <xdr:nvGraphicFramePr>
        <xdr:cNvPr id="5198974" name="1 Gráfico">
          <a:extLst>
            <a:ext uri="{FF2B5EF4-FFF2-40B4-BE49-F238E27FC236}">
              <a16:creationId xmlns:a16="http://schemas.microsoft.com/office/drawing/2014/main" id="{15F7505F-5E61-4C80-966E-6BE5B9BB6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219075</xdr:colOff>
      <xdr:row>45</xdr:row>
      <xdr:rowOff>9525</xdr:rowOff>
    </xdr:from>
    <xdr:to>
      <xdr:col>29</xdr:col>
      <xdr:colOff>1533525</xdr:colOff>
      <xdr:row>61</xdr:row>
      <xdr:rowOff>85725</xdr:rowOff>
    </xdr:to>
    <xdr:graphicFrame macro="">
      <xdr:nvGraphicFramePr>
        <xdr:cNvPr id="5198975" name="4 Gráfico">
          <a:extLst>
            <a:ext uri="{FF2B5EF4-FFF2-40B4-BE49-F238E27FC236}">
              <a16:creationId xmlns:a16="http://schemas.microsoft.com/office/drawing/2014/main" id="{4F3A329A-2487-470C-9DE0-73385EB73B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504825</xdr:colOff>
      <xdr:row>0</xdr:row>
      <xdr:rowOff>66675</xdr:rowOff>
    </xdr:from>
    <xdr:to>
      <xdr:col>1</xdr:col>
      <xdr:colOff>2447925</xdr:colOff>
      <xdr:row>2</xdr:row>
      <xdr:rowOff>466725</xdr:rowOff>
    </xdr:to>
    <xdr:pic>
      <xdr:nvPicPr>
        <xdr:cNvPr id="5198976" name="Imagen 2">
          <a:extLst>
            <a:ext uri="{FF2B5EF4-FFF2-40B4-BE49-F238E27FC236}">
              <a16:creationId xmlns:a16="http://schemas.microsoft.com/office/drawing/2014/main" id="{E7ABB08D-8341-4091-B74D-27C8D7166A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59"/>
        <a:stretch>
          <a:fillRect/>
        </a:stretch>
      </xdr:blipFill>
      <xdr:spPr bwMode="auto">
        <a:xfrm>
          <a:off x="504825" y="66675"/>
          <a:ext cx="2505075" cy="152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4" tint="-0.249977111117893"/>
    <pageSetUpPr fitToPage="1"/>
  </sheetPr>
  <dimension ref="A1:AF64"/>
  <sheetViews>
    <sheetView showGridLines="0" tabSelected="1" topLeftCell="A33" zoomScaleNormal="100" zoomScaleSheetLayoutView="55" zoomScalePageLayoutView="60" workbookViewId="0">
      <selection activeCell="A10" sqref="A10:Z37"/>
    </sheetView>
  </sheetViews>
  <sheetFormatPr baseColWidth="10" defaultRowHeight="15" x14ac:dyDescent="0.2"/>
  <cols>
    <col min="1" max="1" width="8.42578125" style="1" customWidth="1"/>
    <col min="2" max="2" width="49.5703125" style="1" customWidth="1"/>
    <col min="3" max="26" width="4.140625" style="1" customWidth="1"/>
    <col min="27" max="27" width="20.42578125" style="5" customWidth="1"/>
    <col min="28" max="28" width="5.7109375" style="5" customWidth="1"/>
    <col min="29" max="29" width="6.42578125" style="5" customWidth="1"/>
    <col min="30" max="30" width="30.28515625" style="1" customWidth="1"/>
    <col min="31" max="16384" width="11.42578125" style="1"/>
  </cols>
  <sheetData>
    <row r="1" spans="1:32" ht="44.25" customHeight="1" thickBot="1" x14ac:dyDescent="0.25">
      <c r="A1" s="46"/>
      <c r="B1" s="46"/>
      <c r="C1" s="119" t="s">
        <v>86</v>
      </c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21" t="s">
        <v>87</v>
      </c>
      <c r="AC1" s="121"/>
      <c r="AD1" s="121"/>
    </row>
    <row r="2" spans="1:32" ht="44.25" customHeight="1" thickBot="1" x14ac:dyDescent="0.25">
      <c r="A2" s="46"/>
      <c r="B2" s="46"/>
      <c r="C2" s="120" t="s">
        <v>51</v>
      </c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1" t="s">
        <v>88</v>
      </c>
      <c r="AC2" s="121"/>
      <c r="AD2" s="121"/>
    </row>
    <row r="3" spans="1:32" ht="44.25" customHeight="1" thickBot="1" x14ac:dyDescent="0.25">
      <c r="A3" s="46"/>
      <c r="B3" s="46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1" t="s">
        <v>92</v>
      </c>
      <c r="AC3" s="121"/>
      <c r="AD3" s="121"/>
    </row>
    <row r="4" spans="1:32" ht="17.25" customHeight="1" thickBot="1" x14ac:dyDescent="0.25">
      <c r="A4" s="70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2"/>
      <c r="AF4" s="31"/>
    </row>
    <row r="5" spans="1:32" ht="21" customHeight="1" thickBot="1" x14ac:dyDescent="0.25">
      <c r="A5" s="73" t="s">
        <v>0</v>
      </c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5"/>
    </row>
    <row r="6" spans="1:32" ht="85.5" customHeight="1" thickBot="1" x14ac:dyDescent="0.25">
      <c r="A6" s="76" t="s">
        <v>74</v>
      </c>
      <c r="B6" s="77"/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8"/>
    </row>
    <row r="7" spans="1:32" ht="24" customHeight="1" thickBot="1" x14ac:dyDescent="0.25">
      <c r="A7" s="73" t="s">
        <v>5</v>
      </c>
      <c r="B7" s="74"/>
      <c r="C7" s="74"/>
      <c r="D7" s="74"/>
      <c r="E7" s="74"/>
      <c r="F7" s="75"/>
      <c r="G7" s="73" t="s">
        <v>1</v>
      </c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5"/>
      <c r="Y7" s="73" t="s">
        <v>54</v>
      </c>
      <c r="Z7" s="74"/>
      <c r="AA7" s="74"/>
      <c r="AB7" s="74"/>
      <c r="AC7" s="74"/>
      <c r="AD7" s="75"/>
    </row>
    <row r="8" spans="1:32" ht="56.25" customHeight="1" thickBot="1" x14ac:dyDescent="0.25">
      <c r="A8" s="96" t="s">
        <v>41</v>
      </c>
      <c r="B8" s="97"/>
      <c r="C8" s="97"/>
      <c r="D8" s="97"/>
      <c r="E8" s="97"/>
      <c r="F8" s="98"/>
      <c r="G8" s="96" t="s">
        <v>6</v>
      </c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98"/>
      <c r="Y8" s="61" t="s">
        <v>93</v>
      </c>
      <c r="Z8" s="62"/>
      <c r="AA8" s="62"/>
      <c r="AB8" s="62"/>
      <c r="AC8" s="62"/>
      <c r="AD8" s="63"/>
    </row>
    <row r="9" spans="1:32" s="2" customFormat="1" ht="24" customHeight="1" thickBot="1" x14ac:dyDescent="0.25">
      <c r="A9" s="47"/>
      <c r="B9" s="48"/>
      <c r="C9" s="48"/>
      <c r="D9" s="48"/>
      <c r="E9" s="48"/>
      <c r="F9" s="48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49"/>
      <c r="AD9" s="50"/>
    </row>
    <row r="10" spans="1:32" ht="18" customHeight="1" x14ac:dyDescent="0.2">
      <c r="A10" s="51" t="s">
        <v>37</v>
      </c>
      <c r="B10" s="58" t="s">
        <v>38</v>
      </c>
      <c r="C10" s="66" t="s">
        <v>55</v>
      </c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6" t="s">
        <v>8</v>
      </c>
      <c r="AB10" s="66" t="s">
        <v>30</v>
      </c>
      <c r="AC10" s="66"/>
      <c r="AD10" s="83" t="s">
        <v>9</v>
      </c>
    </row>
    <row r="11" spans="1:32" ht="37.5" customHeight="1" x14ac:dyDescent="0.2">
      <c r="A11" s="52"/>
      <c r="B11" s="59"/>
      <c r="C11" s="56" t="s">
        <v>17</v>
      </c>
      <c r="D11" s="57"/>
      <c r="E11" s="56" t="s">
        <v>18</v>
      </c>
      <c r="F11" s="57"/>
      <c r="G11" s="56" t="s">
        <v>19</v>
      </c>
      <c r="H11" s="57"/>
      <c r="I11" s="56" t="s">
        <v>20</v>
      </c>
      <c r="J11" s="57"/>
      <c r="K11" s="56" t="s">
        <v>21</v>
      </c>
      <c r="L11" s="57"/>
      <c r="M11" s="56" t="s">
        <v>22</v>
      </c>
      <c r="N11" s="57"/>
      <c r="O11" s="56" t="s">
        <v>12</v>
      </c>
      <c r="P11" s="57"/>
      <c r="Q11" s="56" t="s">
        <v>13</v>
      </c>
      <c r="R11" s="57"/>
      <c r="S11" s="56" t="s">
        <v>14</v>
      </c>
      <c r="T11" s="57"/>
      <c r="U11" s="56" t="s">
        <v>15</v>
      </c>
      <c r="V11" s="57"/>
      <c r="W11" s="56" t="s">
        <v>16</v>
      </c>
      <c r="X11" s="57"/>
      <c r="Y11" s="56" t="s">
        <v>23</v>
      </c>
      <c r="Z11" s="57"/>
      <c r="AA11" s="81"/>
      <c r="AB11" s="54" t="s">
        <v>34</v>
      </c>
      <c r="AC11" s="54" t="s">
        <v>31</v>
      </c>
      <c r="AD11" s="84"/>
    </row>
    <row r="12" spans="1:32" ht="30" customHeight="1" x14ac:dyDescent="0.2">
      <c r="A12" s="53"/>
      <c r="B12" s="60"/>
      <c r="C12" s="7" t="s">
        <v>2</v>
      </c>
      <c r="D12" s="12" t="s">
        <v>3</v>
      </c>
      <c r="E12" s="7" t="s">
        <v>2</v>
      </c>
      <c r="F12" s="12" t="s">
        <v>3</v>
      </c>
      <c r="G12" s="7" t="s">
        <v>2</v>
      </c>
      <c r="H12" s="12" t="s">
        <v>3</v>
      </c>
      <c r="I12" s="7" t="s">
        <v>2</v>
      </c>
      <c r="J12" s="12" t="s">
        <v>3</v>
      </c>
      <c r="K12" s="7" t="s">
        <v>2</v>
      </c>
      <c r="L12" s="12" t="s">
        <v>3</v>
      </c>
      <c r="M12" s="7" t="s">
        <v>2</v>
      </c>
      <c r="N12" s="12" t="s">
        <v>3</v>
      </c>
      <c r="O12" s="7" t="s">
        <v>2</v>
      </c>
      <c r="P12" s="12" t="s">
        <v>3</v>
      </c>
      <c r="Q12" s="7" t="s">
        <v>2</v>
      </c>
      <c r="R12" s="12" t="s">
        <v>3</v>
      </c>
      <c r="S12" s="7" t="s">
        <v>2</v>
      </c>
      <c r="T12" s="12" t="s">
        <v>3</v>
      </c>
      <c r="U12" s="7" t="s">
        <v>2</v>
      </c>
      <c r="V12" s="12" t="s">
        <v>3</v>
      </c>
      <c r="W12" s="7" t="s">
        <v>2</v>
      </c>
      <c r="X12" s="12" t="s">
        <v>3</v>
      </c>
      <c r="Y12" s="7" t="s">
        <v>2</v>
      </c>
      <c r="Z12" s="12" t="s">
        <v>3</v>
      </c>
      <c r="AA12" s="81"/>
      <c r="AB12" s="54"/>
      <c r="AC12" s="54"/>
      <c r="AD12" s="84"/>
    </row>
    <row r="13" spans="1:32" ht="51.75" customHeight="1" x14ac:dyDescent="0.2">
      <c r="A13" s="64" t="s">
        <v>33</v>
      </c>
      <c r="B13" s="27" t="s">
        <v>95</v>
      </c>
      <c r="C13" s="19">
        <v>1</v>
      </c>
      <c r="D13" s="19">
        <v>1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20" t="s">
        <v>99</v>
      </c>
      <c r="AB13" s="6" t="s">
        <v>29</v>
      </c>
      <c r="AC13" s="6"/>
      <c r="AD13" s="8"/>
    </row>
    <row r="14" spans="1:32" ht="78.75" customHeight="1" x14ac:dyDescent="0.2">
      <c r="A14" s="65"/>
      <c r="B14" s="21" t="s">
        <v>75</v>
      </c>
      <c r="C14" s="22"/>
      <c r="D14" s="22"/>
      <c r="E14" s="22"/>
      <c r="F14" s="22"/>
      <c r="G14" s="22">
        <v>1</v>
      </c>
      <c r="H14" s="22">
        <v>1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3" t="s">
        <v>100</v>
      </c>
      <c r="AB14" s="6" t="s">
        <v>29</v>
      </c>
      <c r="AC14" s="6" t="s">
        <v>29</v>
      </c>
      <c r="AD14" s="9"/>
      <c r="AE14" s="16"/>
    </row>
    <row r="15" spans="1:32" ht="82.5" customHeight="1" x14ac:dyDescent="0.2">
      <c r="A15" s="65"/>
      <c r="B15" s="21" t="s">
        <v>96</v>
      </c>
      <c r="C15" s="22"/>
      <c r="D15" s="22"/>
      <c r="E15" s="22">
        <v>1</v>
      </c>
      <c r="F15" s="22">
        <v>1</v>
      </c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3" t="s">
        <v>101</v>
      </c>
      <c r="AB15" s="6" t="s">
        <v>29</v>
      </c>
      <c r="AC15" s="6" t="s">
        <v>29</v>
      </c>
      <c r="AD15" s="9"/>
    </row>
    <row r="16" spans="1:32" ht="40.5" customHeight="1" x14ac:dyDescent="0.2">
      <c r="A16" s="65"/>
      <c r="B16" s="21" t="s">
        <v>42</v>
      </c>
      <c r="C16" s="22">
        <v>1</v>
      </c>
      <c r="D16" s="22">
        <v>1</v>
      </c>
      <c r="E16" s="22">
        <v>1</v>
      </c>
      <c r="F16" s="22">
        <v>1</v>
      </c>
      <c r="G16" s="22">
        <v>1</v>
      </c>
      <c r="H16" s="22">
        <v>1</v>
      </c>
      <c r="I16" s="22">
        <v>1</v>
      </c>
      <c r="J16" s="22">
        <v>1</v>
      </c>
      <c r="K16" s="22">
        <v>1</v>
      </c>
      <c r="L16" s="22">
        <v>1</v>
      </c>
      <c r="M16" s="22">
        <v>1</v>
      </c>
      <c r="N16" s="22">
        <v>1</v>
      </c>
      <c r="O16" s="22">
        <v>1</v>
      </c>
      <c r="P16" s="22">
        <v>1</v>
      </c>
      <c r="Q16" s="22">
        <v>1</v>
      </c>
      <c r="R16" s="22">
        <v>1</v>
      </c>
      <c r="S16" s="22">
        <v>1</v>
      </c>
      <c r="T16" s="22">
        <v>1</v>
      </c>
      <c r="U16" s="22">
        <v>1</v>
      </c>
      <c r="V16" s="22">
        <v>1</v>
      </c>
      <c r="W16" s="22">
        <v>1</v>
      </c>
      <c r="X16" s="22">
        <v>1</v>
      </c>
      <c r="Y16" s="22">
        <v>1</v>
      </c>
      <c r="Z16" s="22">
        <v>1</v>
      </c>
      <c r="AA16" s="23" t="s">
        <v>52</v>
      </c>
      <c r="AB16" s="6" t="s">
        <v>29</v>
      </c>
      <c r="AC16" s="6"/>
      <c r="AD16" s="9"/>
    </row>
    <row r="17" spans="1:30" ht="54.75" customHeight="1" x14ac:dyDescent="0.2">
      <c r="A17" s="65"/>
      <c r="B17" s="21" t="s">
        <v>94</v>
      </c>
      <c r="C17" s="22">
        <v>1</v>
      </c>
      <c r="D17" s="22">
        <v>1</v>
      </c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3" t="s">
        <v>52</v>
      </c>
      <c r="AB17" s="6" t="s">
        <v>29</v>
      </c>
      <c r="AC17" s="6"/>
      <c r="AD17" s="8" t="s">
        <v>105</v>
      </c>
    </row>
    <row r="18" spans="1:30" ht="51" customHeight="1" x14ac:dyDescent="0.2">
      <c r="A18" s="65"/>
      <c r="B18" s="21" t="s">
        <v>83</v>
      </c>
      <c r="C18" s="22"/>
      <c r="D18" s="22"/>
      <c r="E18" s="22">
        <v>1</v>
      </c>
      <c r="F18" s="22">
        <v>1</v>
      </c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3" t="s">
        <v>52</v>
      </c>
      <c r="AB18" s="6" t="s">
        <v>29</v>
      </c>
      <c r="AC18" s="6"/>
      <c r="AD18" s="8" t="s">
        <v>106</v>
      </c>
    </row>
    <row r="19" spans="1:30" ht="51" customHeight="1" x14ac:dyDescent="0.2">
      <c r="A19" s="65"/>
      <c r="B19" s="21" t="s">
        <v>97</v>
      </c>
      <c r="C19" s="22"/>
      <c r="D19" s="22"/>
      <c r="E19" s="22"/>
      <c r="F19" s="22"/>
      <c r="G19" s="22">
        <v>1</v>
      </c>
      <c r="H19" s="22">
        <v>1</v>
      </c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3" t="s">
        <v>52</v>
      </c>
      <c r="AB19" s="6" t="s">
        <v>29</v>
      </c>
      <c r="AC19" s="6"/>
      <c r="AD19" s="10" t="s">
        <v>78</v>
      </c>
    </row>
    <row r="20" spans="1:30" ht="48.75" customHeight="1" x14ac:dyDescent="0.2">
      <c r="A20" s="65"/>
      <c r="B20" s="21" t="s">
        <v>77</v>
      </c>
      <c r="C20" s="22"/>
      <c r="D20" s="22"/>
      <c r="E20" s="22"/>
      <c r="F20" s="22"/>
      <c r="G20" s="22"/>
      <c r="H20" s="22"/>
      <c r="I20" s="22"/>
      <c r="J20" s="22"/>
      <c r="K20" s="22">
        <v>1</v>
      </c>
      <c r="L20" s="22">
        <v>1</v>
      </c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3" t="s">
        <v>52</v>
      </c>
      <c r="AB20" s="6" t="s">
        <v>29</v>
      </c>
      <c r="AC20" s="6"/>
      <c r="AD20" s="9"/>
    </row>
    <row r="21" spans="1:30" ht="62.25" customHeight="1" x14ac:dyDescent="0.2">
      <c r="A21" s="65"/>
      <c r="B21" s="21" t="s">
        <v>76</v>
      </c>
      <c r="C21" s="22"/>
      <c r="D21" s="22"/>
      <c r="E21" s="22"/>
      <c r="F21" s="22"/>
      <c r="G21" s="22"/>
      <c r="H21" s="22"/>
      <c r="I21" s="22"/>
      <c r="J21" s="22"/>
      <c r="K21" s="22">
        <v>1</v>
      </c>
      <c r="L21" s="22">
        <v>1</v>
      </c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3" t="s">
        <v>52</v>
      </c>
      <c r="AB21" s="6" t="s">
        <v>29</v>
      </c>
      <c r="AC21" s="6"/>
      <c r="AD21" s="9"/>
    </row>
    <row r="22" spans="1:30" ht="57.75" customHeight="1" x14ac:dyDescent="0.2">
      <c r="A22" s="65"/>
      <c r="B22" s="21" t="s">
        <v>43</v>
      </c>
      <c r="C22" s="22"/>
      <c r="D22" s="22"/>
      <c r="E22" s="22"/>
      <c r="F22" s="22"/>
      <c r="G22" s="22"/>
      <c r="H22" s="22"/>
      <c r="I22" s="22">
        <v>1</v>
      </c>
      <c r="J22" s="22">
        <v>1</v>
      </c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3" t="s">
        <v>99</v>
      </c>
      <c r="AB22" s="6" t="s">
        <v>29</v>
      </c>
      <c r="AC22" s="6"/>
      <c r="AD22" s="8" t="s">
        <v>107</v>
      </c>
    </row>
    <row r="23" spans="1:30" ht="45" customHeight="1" x14ac:dyDescent="0.2">
      <c r="A23" s="65"/>
      <c r="B23" s="21" t="s">
        <v>44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>
        <v>1</v>
      </c>
      <c r="Z23" s="22">
        <v>1</v>
      </c>
      <c r="AA23" s="23" t="s">
        <v>53</v>
      </c>
      <c r="AB23" s="6" t="s">
        <v>29</v>
      </c>
      <c r="AC23" s="6"/>
      <c r="AD23" s="9"/>
    </row>
    <row r="24" spans="1:30" ht="72.75" customHeight="1" x14ac:dyDescent="0.2">
      <c r="A24" s="65"/>
      <c r="B24" s="21" t="s">
        <v>56</v>
      </c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>
        <v>1</v>
      </c>
      <c r="R24" s="22">
        <v>1</v>
      </c>
      <c r="S24" s="22"/>
      <c r="T24" s="22"/>
      <c r="U24" s="22"/>
      <c r="V24" s="22"/>
      <c r="W24" s="22"/>
      <c r="X24" s="22"/>
      <c r="Y24" s="22"/>
      <c r="Z24" s="22"/>
      <c r="AA24" s="23" t="s">
        <v>102</v>
      </c>
      <c r="AB24" s="6" t="s">
        <v>29</v>
      </c>
      <c r="AC24" s="6"/>
      <c r="AD24" s="9"/>
    </row>
    <row r="25" spans="1:30" ht="46.5" customHeight="1" x14ac:dyDescent="0.2">
      <c r="A25" s="65"/>
      <c r="B25" s="21" t="s">
        <v>57</v>
      </c>
      <c r="C25" s="22"/>
      <c r="D25" s="22"/>
      <c r="E25" s="22"/>
      <c r="F25" s="22"/>
      <c r="G25" s="22"/>
      <c r="H25" s="22"/>
      <c r="I25" s="22">
        <v>1</v>
      </c>
      <c r="J25" s="22"/>
      <c r="K25" s="22"/>
      <c r="L25" s="22"/>
      <c r="M25" s="22"/>
      <c r="N25" s="22"/>
      <c r="O25" s="22">
        <v>1</v>
      </c>
      <c r="P25" s="22"/>
      <c r="Q25" s="22"/>
      <c r="R25" s="22"/>
      <c r="S25" s="22"/>
      <c r="T25" s="22"/>
      <c r="U25" s="22">
        <v>1</v>
      </c>
      <c r="V25" s="22"/>
      <c r="W25" s="22"/>
      <c r="X25" s="22"/>
      <c r="Y25" s="22"/>
      <c r="Z25" s="22"/>
      <c r="AA25" s="23" t="s">
        <v>99</v>
      </c>
      <c r="AB25" s="6" t="s">
        <v>29</v>
      </c>
      <c r="AC25" s="6"/>
      <c r="AD25" s="9"/>
    </row>
    <row r="26" spans="1:30" ht="46.5" customHeight="1" x14ac:dyDescent="0.2">
      <c r="A26" s="65"/>
      <c r="B26" s="21" t="s">
        <v>79</v>
      </c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>
        <v>1</v>
      </c>
      <c r="X26" s="22">
        <v>1</v>
      </c>
      <c r="Y26" s="22"/>
      <c r="Z26" s="22"/>
      <c r="AA26" s="23" t="s">
        <v>99</v>
      </c>
      <c r="AB26" s="6" t="s">
        <v>29</v>
      </c>
      <c r="AC26" s="6"/>
      <c r="AD26" s="9" t="s">
        <v>108</v>
      </c>
    </row>
    <row r="27" spans="1:30" ht="68.25" customHeight="1" x14ac:dyDescent="0.2">
      <c r="A27" s="55" t="s">
        <v>27</v>
      </c>
      <c r="B27" s="21" t="s">
        <v>58</v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>
        <v>1</v>
      </c>
      <c r="R27" s="22"/>
      <c r="S27" s="22"/>
      <c r="T27" s="22"/>
      <c r="U27" s="22"/>
      <c r="V27" s="22"/>
      <c r="W27" s="22">
        <v>1</v>
      </c>
      <c r="X27" s="22"/>
      <c r="Y27" s="22"/>
      <c r="Z27" s="22"/>
      <c r="AA27" s="23" t="s">
        <v>103</v>
      </c>
      <c r="AB27" s="6" t="s">
        <v>29</v>
      </c>
      <c r="AC27" s="6" t="s">
        <v>29</v>
      </c>
      <c r="AD27" s="9"/>
    </row>
    <row r="28" spans="1:30" ht="68.25" customHeight="1" x14ac:dyDescent="0.2">
      <c r="A28" s="55"/>
      <c r="B28" s="21" t="s">
        <v>98</v>
      </c>
      <c r="C28" s="22">
        <v>1</v>
      </c>
      <c r="D28" s="22">
        <v>1</v>
      </c>
      <c r="E28" s="22">
        <v>1</v>
      </c>
      <c r="F28" s="22">
        <v>1</v>
      </c>
      <c r="G28" s="22">
        <v>1</v>
      </c>
      <c r="H28" s="22">
        <v>1</v>
      </c>
      <c r="I28" s="22">
        <v>1</v>
      </c>
      <c r="J28" s="22">
        <v>1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22">
        <v>1</v>
      </c>
      <c r="S28" s="22">
        <v>1</v>
      </c>
      <c r="T28" s="22">
        <v>1</v>
      </c>
      <c r="U28" s="22">
        <v>1</v>
      </c>
      <c r="V28" s="22">
        <v>1</v>
      </c>
      <c r="W28" s="22">
        <v>1</v>
      </c>
      <c r="X28" s="22">
        <v>1</v>
      </c>
      <c r="Y28" s="22">
        <v>1</v>
      </c>
      <c r="Z28" s="22">
        <v>1</v>
      </c>
      <c r="AA28" s="23" t="s">
        <v>99</v>
      </c>
      <c r="AB28" s="6" t="s">
        <v>29</v>
      </c>
      <c r="AC28" s="6"/>
      <c r="AD28" s="8"/>
    </row>
    <row r="29" spans="1:30" ht="68.25" customHeight="1" x14ac:dyDescent="0.2">
      <c r="A29" s="55"/>
      <c r="B29" s="21" t="s">
        <v>84</v>
      </c>
      <c r="C29" s="22"/>
      <c r="D29" s="22"/>
      <c r="E29" s="22">
        <v>1</v>
      </c>
      <c r="F29" s="22">
        <v>1</v>
      </c>
      <c r="G29" s="22"/>
      <c r="H29" s="22"/>
      <c r="I29" s="22"/>
      <c r="J29" s="22"/>
      <c r="K29" s="22">
        <v>1</v>
      </c>
      <c r="L29" s="22">
        <v>1</v>
      </c>
      <c r="M29" s="22"/>
      <c r="N29" s="22"/>
      <c r="O29" s="22"/>
      <c r="P29" s="22"/>
      <c r="Q29" s="22">
        <v>1</v>
      </c>
      <c r="R29" s="22">
        <v>1</v>
      </c>
      <c r="S29" s="22"/>
      <c r="T29" s="22"/>
      <c r="U29" s="22"/>
      <c r="V29" s="22"/>
      <c r="W29" s="22">
        <v>1</v>
      </c>
      <c r="X29" s="22">
        <v>1</v>
      </c>
      <c r="Y29" s="22"/>
      <c r="Z29" s="22"/>
      <c r="AA29" s="23" t="s">
        <v>85</v>
      </c>
      <c r="AB29" s="6" t="s">
        <v>29</v>
      </c>
      <c r="AC29" s="6"/>
      <c r="AD29" s="8"/>
    </row>
    <row r="30" spans="1:30" ht="68.25" customHeight="1" x14ac:dyDescent="0.2">
      <c r="A30" s="55"/>
      <c r="B30" s="21" t="s">
        <v>80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>
        <v>1</v>
      </c>
      <c r="V30" s="22">
        <v>1</v>
      </c>
      <c r="W30" s="22"/>
      <c r="X30" s="22"/>
      <c r="Y30" s="22"/>
      <c r="Z30" s="22"/>
      <c r="AA30" s="23" t="s">
        <v>39</v>
      </c>
      <c r="AB30" s="6"/>
      <c r="AC30" s="6" t="s">
        <v>29</v>
      </c>
      <c r="AD30" s="8"/>
    </row>
    <row r="31" spans="1:30" ht="88.5" customHeight="1" x14ac:dyDescent="0.2">
      <c r="A31" s="55"/>
      <c r="B31" s="21" t="s">
        <v>45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>
        <v>1</v>
      </c>
      <c r="N31" s="22">
        <v>1</v>
      </c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>
        <v>1</v>
      </c>
      <c r="Z31" s="22">
        <v>1</v>
      </c>
      <c r="AA31" s="23" t="s">
        <v>99</v>
      </c>
      <c r="AB31" s="6" t="s">
        <v>29</v>
      </c>
      <c r="AC31" s="6"/>
      <c r="AD31" s="9"/>
    </row>
    <row r="32" spans="1:30" ht="60" customHeight="1" x14ac:dyDescent="0.2">
      <c r="A32" s="55"/>
      <c r="B32" s="21" t="s">
        <v>46</v>
      </c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>
        <v>1</v>
      </c>
      <c r="N32" s="22">
        <v>1</v>
      </c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>
        <v>1</v>
      </c>
      <c r="Z32" s="22">
        <v>1</v>
      </c>
      <c r="AA32" s="23" t="s">
        <v>99</v>
      </c>
      <c r="AB32" s="6" t="s">
        <v>29</v>
      </c>
      <c r="AC32" s="6"/>
      <c r="AD32" s="9"/>
    </row>
    <row r="33" spans="1:30" ht="81.75" customHeight="1" x14ac:dyDescent="0.2">
      <c r="A33" s="45" t="s">
        <v>28</v>
      </c>
      <c r="B33" s="21" t="s">
        <v>35</v>
      </c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>
        <v>1</v>
      </c>
      <c r="X33" s="22">
        <v>1</v>
      </c>
      <c r="Y33" s="22"/>
      <c r="Z33" s="22"/>
      <c r="AA33" s="23" t="s">
        <v>39</v>
      </c>
      <c r="AB33" s="6" t="s">
        <v>29</v>
      </c>
      <c r="AC33" s="6" t="s">
        <v>29</v>
      </c>
      <c r="AD33" s="9"/>
    </row>
    <row r="34" spans="1:30" ht="52.5" customHeight="1" x14ac:dyDescent="0.2">
      <c r="A34" s="45"/>
      <c r="B34" s="21" t="s">
        <v>47</v>
      </c>
      <c r="C34" s="22">
        <v>1</v>
      </c>
      <c r="D34" s="22">
        <v>1</v>
      </c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3" t="s">
        <v>40</v>
      </c>
      <c r="AB34" s="6" t="s">
        <v>29</v>
      </c>
      <c r="AC34" s="6"/>
      <c r="AD34" s="9"/>
    </row>
    <row r="35" spans="1:30" ht="77.25" customHeight="1" x14ac:dyDescent="0.2">
      <c r="A35" s="82" t="s">
        <v>32</v>
      </c>
      <c r="B35" s="21" t="s">
        <v>81</v>
      </c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>
        <v>1</v>
      </c>
      <c r="Z35" s="22">
        <v>1</v>
      </c>
      <c r="AA35" s="23" t="s">
        <v>103</v>
      </c>
      <c r="AB35" s="6" t="s">
        <v>29</v>
      </c>
      <c r="AC35" s="6"/>
      <c r="AD35" s="9"/>
    </row>
    <row r="36" spans="1:30" ht="52.5" customHeight="1" x14ac:dyDescent="0.2">
      <c r="A36" s="82"/>
      <c r="B36" s="21" t="s">
        <v>36</v>
      </c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>
        <v>1</v>
      </c>
      <c r="N36" s="22">
        <v>1</v>
      </c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>
        <v>1</v>
      </c>
      <c r="Z36" s="22">
        <v>1</v>
      </c>
      <c r="AA36" s="23" t="s">
        <v>99</v>
      </c>
      <c r="AB36" s="6" t="s">
        <v>29</v>
      </c>
      <c r="AC36" s="6"/>
      <c r="AD36" s="9"/>
    </row>
    <row r="37" spans="1:30" ht="75" customHeight="1" x14ac:dyDescent="0.2">
      <c r="A37" s="79" t="s">
        <v>10</v>
      </c>
      <c r="B37" s="80"/>
      <c r="C37" s="24">
        <f t="shared" ref="C37:Z37" si="0">SUM(C13:C36)</f>
        <v>5</v>
      </c>
      <c r="D37" s="24">
        <f t="shared" si="0"/>
        <v>5</v>
      </c>
      <c r="E37" s="24">
        <f t="shared" si="0"/>
        <v>5</v>
      </c>
      <c r="F37" s="24">
        <f t="shared" si="0"/>
        <v>5</v>
      </c>
      <c r="G37" s="24">
        <f t="shared" si="0"/>
        <v>4</v>
      </c>
      <c r="H37" s="24">
        <f t="shared" si="0"/>
        <v>4</v>
      </c>
      <c r="I37" s="24">
        <f t="shared" si="0"/>
        <v>4</v>
      </c>
      <c r="J37" s="24">
        <f t="shared" si="0"/>
        <v>3</v>
      </c>
      <c r="K37" s="24">
        <f t="shared" si="0"/>
        <v>5</v>
      </c>
      <c r="L37" s="24">
        <f t="shared" si="0"/>
        <v>5</v>
      </c>
      <c r="M37" s="24">
        <f t="shared" si="0"/>
        <v>5</v>
      </c>
      <c r="N37" s="24">
        <f t="shared" si="0"/>
        <v>5</v>
      </c>
      <c r="O37" s="24">
        <f t="shared" si="0"/>
        <v>3</v>
      </c>
      <c r="P37" s="24">
        <f t="shared" si="0"/>
        <v>2</v>
      </c>
      <c r="Q37" s="24">
        <f t="shared" si="0"/>
        <v>5</v>
      </c>
      <c r="R37" s="24">
        <f t="shared" si="0"/>
        <v>4</v>
      </c>
      <c r="S37" s="24">
        <f t="shared" si="0"/>
        <v>2</v>
      </c>
      <c r="T37" s="24">
        <f t="shared" si="0"/>
        <v>2</v>
      </c>
      <c r="U37" s="24">
        <f t="shared" si="0"/>
        <v>4</v>
      </c>
      <c r="V37" s="24">
        <f t="shared" si="0"/>
        <v>3</v>
      </c>
      <c r="W37" s="24">
        <f t="shared" si="0"/>
        <v>6</v>
      </c>
      <c r="X37" s="24">
        <f t="shared" si="0"/>
        <v>5</v>
      </c>
      <c r="Y37" s="25">
        <f t="shared" si="0"/>
        <v>7</v>
      </c>
      <c r="Z37" s="24">
        <f t="shared" si="0"/>
        <v>7</v>
      </c>
      <c r="AA37" s="26"/>
      <c r="AB37" s="6"/>
      <c r="AC37" s="6"/>
      <c r="AD37" s="11"/>
    </row>
    <row r="38" spans="1:30" ht="21" customHeight="1" x14ac:dyDescent="0.2">
      <c r="A38" s="90" t="s">
        <v>7</v>
      </c>
      <c r="B38" s="91"/>
      <c r="C38" s="91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  <c r="U38" s="91"/>
      <c r="V38" s="91"/>
      <c r="W38" s="91"/>
      <c r="X38" s="91"/>
      <c r="Y38" s="91"/>
      <c r="Z38" s="91"/>
      <c r="AA38" s="92"/>
      <c r="AB38" s="3"/>
      <c r="AC38" s="3"/>
      <c r="AD38" s="11"/>
    </row>
    <row r="39" spans="1:30" ht="15" customHeight="1" x14ac:dyDescent="0.2">
      <c r="A39" s="93" t="s">
        <v>59</v>
      </c>
      <c r="B39" s="94"/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5"/>
    </row>
    <row r="40" spans="1:30" s="4" customFormat="1" ht="8.25" customHeight="1" thickBot="1" x14ac:dyDescent="0.25">
      <c r="A40" s="101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  <c r="AA40" s="103"/>
      <c r="AB40" s="103"/>
      <c r="AC40" s="103"/>
      <c r="AD40" s="104"/>
    </row>
    <row r="41" spans="1:30" ht="24" customHeight="1" x14ac:dyDescent="0.2">
      <c r="A41" s="90" t="s">
        <v>73</v>
      </c>
      <c r="B41" s="92"/>
      <c r="C41" s="43" t="s">
        <v>60</v>
      </c>
      <c r="D41" s="44"/>
      <c r="E41" s="43" t="s">
        <v>61</v>
      </c>
      <c r="F41" s="44"/>
      <c r="G41" s="43" t="s">
        <v>62</v>
      </c>
      <c r="H41" s="44"/>
      <c r="I41" s="43" t="s">
        <v>63</v>
      </c>
      <c r="J41" s="44"/>
      <c r="K41" s="43" t="s">
        <v>64</v>
      </c>
      <c r="L41" s="44"/>
      <c r="M41" s="43" t="s">
        <v>65</v>
      </c>
      <c r="N41" s="44"/>
      <c r="O41" s="43" t="s">
        <v>66</v>
      </c>
      <c r="P41" s="44"/>
      <c r="Q41" s="43" t="s">
        <v>67</v>
      </c>
      <c r="R41" s="44"/>
      <c r="S41" s="43" t="s">
        <v>68</v>
      </c>
      <c r="T41" s="44"/>
      <c r="U41" s="43" t="s">
        <v>69</v>
      </c>
      <c r="V41" s="44"/>
      <c r="W41" s="43" t="s">
        <v>70</v>
      </c>
      <c r="X41" s="44"/>
      <c r="Y41" s="43" t="s">
        <v>71</v>
      </c>
      <c r="Z41" s="69"/>
      <c r="AA41" s="40" t="s">
        <v>4</v>
      </c>
      <c r="AB41" s="41"/>
      <c r="AC41" s="41"/>
      <c r="AD41" s="42"/>
    </row>
    <row r="42" spans="1:30" ht="23.1" customHeight="1" thickBot="1" x14ac:dyDescent="0.25">
      <c r="A42" s="99" t="s">
        <v>11</v>
      </c>
      <c r="B42" s="100"/>
      <c r="C42" s="13">
        <f>SUM(C37)</f>
        <v>5</v>
      </c>
      <c r="D42" s="13">
        <f t="shared" ref="D42:Z42" si="1">D37</f>
        <v>5</v>
      </c>
      <c r="E42" s="13">
        <f t="shared" si="1"/>
        <v>5</v>
      </c>
      <c r="F42" s="13">
        <f t="shared" si="1"/>
        <v>5</v>
      </c>
      <c r="G42" s="13">
        <f t="shared" si="1"/>
        <v>4</v>
      </c>
      <c r="H42" s="13">
        <f t="shared" si="1"/>
        <v>4</v>
      </c>
      <c r="I42" s="13">
        <f t="shared" si="1"/>
        <v>4</v>
      </c>
      <c r="J42" s="13">
        <f t="shared" si="1"/>
        <v>3</v>
      </c>
      <c r="K42" s="13">
        <f t="shared" si="1"/>
        <v>5</v>
      </c>
      <c r="L42" s="13">
        <f t="shared" si="1"/>
        <v>5</v>
      </c>
      <c r="M42" s="13">
        <f t="shared" si="1"/>
        <v>5</v>
      </c>
      <c r="N42" s="13">
        <f t="shared" si="1"/>
        <v>5</v>
      </c>
      <c r="O42" s="13">
        <f t="shared" si="1"/>
        <v>3</v>
      </c>
      <c r="P42" s="13">
        <f t="shared" si="1"/>
        <v>2</v>
      </c>
      <c r="Q42" s="13">
        <f t="shared" si="1"/>
        <v>5</v>
      </c>
      <c r="R42" s="13">
        <f t="shared" si="1"/>
        <v>4</v>
      </c>
      <c r="S42" s="13">
        <f t="shared" si="1"/>
        <v>2</v>
      </c>
      <c r="T42" s="13">
        <f t="shared" si="1"/>
        <v>2</v>
      </c>
      <c r="U42" s="13">
        <f t="shared" si="1"/>
        <v>4</v>
      </c>
      <c r="V42" s="13">
        <f t="shared" si="1"/>
        <v>3</v>
      </c>
      <c r="W42" s="13">
        <f t="shared" si="1"/>
        <v>6</v>
      </c>
      <c r="X42" s="13">
        <f t="shared" si="1"/>
        <v>5</v>
      </c>
      <c r="Y42" s="13">
        <f t="shared" si="1"/>
        <v>7</v>
      </c>
      <c r="Z42" s="14">
        <f t="shared" si="1"/>
        <v>7</v>
      </c>
      <c r="AA42" s="89">
        <f>C42+E42+G42+I42+K42+M42+O42+Q42+S42+U42+W42+Y42</f>
        <v>55</v>
      </c>
      <c r="AB42" s="67">
        <f>D42+F42+H42+J42+L42+N42+P42+R42+T42+V42+X42+Z42</f>
        <v>50</v>
      </c>
      <c r="AC42" s="67"/>
      <c r="AD42" s="28">
        <f>AB42/AA42</f>
        <v>0.90909090909090906</v>
      </c>
    </row>
    <row r="43" spans="1:30" ht="18" customHeight="1" x14ac:dyDescent="0.2">
      <c r="A43" s="99" t="s">
        <v>72</v>
      </c>
      <c r="B43" s="100"/>
      <c r="C43" s="87">
        <f>D42/C42</f>
        <v>1</v>
      </c>
      <c r="D43" s="88"/>
      <c r="E43" s="87">
        <f>F42/E42</f>
        <v>1</v>
      </c>
      <c r="F43" s="88"/>
      <c r="G43" s="87">
        <f>H42/G42</f>
        <v>1</v>
      </c>
      <c r="H43" s="88"/>
      <c r="I43" s="87">
        <f>J42/I42</f>
        <v>0.75</v>
      </c>
      <c r="J43" s="88"/>
      <c r="K43" s="87">
        <f>L42/K42</f>
        <v>1</v>
      </c>
      <c r="L43" s="88"/>
      <c r="M43" s="87">
        <f>N42/M42</f>
        <v>1</v>
      </c>
      <c r="N43" s="88"/>
      <c r="O43" s="87">
        <f>P42/O42</f>
        <v>0.66666666666666663</v>
      </c>
      <c r="P43" s="88"/>
      <c r="Q43" s="87">
        <f>R42/Q42</f>
        <v>0.8</v>
      </c>
      <c r="R43" s="88"/>
      <c r="S43" s="87">
        <f>T42/S42</f>
        <v>1</v>
      </c>
      <c r="T43" s="88"/>
      <c r="U43" s="87">
        <f>V42/U42</f>
        <v>0.75</v>
      </c>
      <c r="V43" s="88"/>
      <c r="W43" s="87">
        <f>X42/W42</f>
        <v>0.83333333333333337</v>
      </c>
      <c r="X43" s="88"/>
      <c r="Y43" s="87">
        <f>Z42/Y42</f>
        <v>1</v>
      </c>
      <c r="Z43" s="105"/>
      <c r="AA43" s="89"/>
      <c r="AB43" s="67"/>
      <c r="AC43" s="68"/>
      <c r="AD43" s="29" t="s">
        <v>5</v>
      </c>
    </row>
    <row r="44" spans="1:30" ht="23.25" customHeight="1" thickBot="1" x14ac:dyDescent="0.25">
      <c r="A44" s="111" t="s">
        <v>24</v>
      </c>
      <c r="B44" s="112"/>
      <c r="C44" s="85">
        <v>0.9</v>
      </c>
      <c r="D44" s="86"/>
      <c r="E44" s="85">
        <v>0.9</v>
      </c>
      <c r="F44" s="86"/>
      <c r="G44" s="85">
        <v>0.9</v>
      </c>
      <c r="H44" s="86"/>
      <c r="I44" s="85">
        <v>0.9</v>
      </c>
      <c r="J44" s="86"/>
      <c r="K44" s="85">
        <v>0.9</v>
      </c>
      <c r="L44" s="86"/>
      <c r="M44" s="85">
        <v>0.9</v>
      </c>
      <c r="N44" s="86"/>
      <c r="O44" s="85">
        <v>0.9</v>
      </c>
      <c r="P44" s="86"/>
      <c r="Q44" s="85">
        <v>0.9</v>
      </c>
      <c r="R44" s="86"/>
      <c r="S44" s="85">
        <v>0.9</v>
      </c>
      <c r="T44" s="86"/>
      <c r="U44" s="85">
        <v>0.9</v>
      </c>
      <c r="V44" s="86"/>
      <c r="W44" s="85">
        <v>0.9</v>
      </c>
      <c r="X44" s="86"/>
      <c r="Y44" s="85">
        <v>0.9</v>
      </c>
      <c r="Z44" s="110"/>
      <c r="AA44" s="15" t="s">
        <v>25</v>
      </c>
      <c r="AB44" s="108" t="s">
        <v>26</v>
      </c>
      <c r="AC44" s="109"/>
      <c r="AD44" s="30">
        <v>0.9</v>
      </c>
    </row>
    <row r="45" spans="1:30" ht="15" customHeight="1" x14ac:dyDescent="0.25">
      <c r="A45" s="32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4"/>
      <c r="AB45" s="34"/>
      <c r="AC45" s="34"/>
      <c r="AD45" s="35"/>
    </row>
    <row r="46" spans="1:30" x14ac:dyDescent="0.2">
      <c r="A46" s="36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5"/>
    </row>
    <row r="47" spans="1:30" x14ac:dyDescent="0.2">
      <c r="A47" s="36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5"/>
    </row>
    <row r="48" spans="1:30" x14ac:dyDescent="0.2">
      <c r="A48" s="36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5"/>
    </row>
    <row r="49" spans="1:30" x14ac:dyDescent="0.2">
      <c r="A49" s="36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5"/>
    </row>
    <row r="50" spans="1:30" x14ac:dyDescent="0.2">
      <c r="A50" s="36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5"/>
    </row>
    <row r="51" spans="1:30" x14ac:dyDescent="0.2">
      <c r="A51" s="36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5"/>
    </row>
    <row r="52" spans="1:30" x14ac:dyDescent="0.2">
      <c r="A52" s="36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5"/>
    </row>
    <row r="53" spans="1:30" x14ac:dyDescent="0.2">
      <c r="A53" s="36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5"/>
    </row>
    <row r="54" spans="1:30" x14ac:dyDescent="0.2">
      <c r="A54" s="36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5"/>
    </row>
    <row r="55" spans="1:30" x14ac:dyDescent="0.2">
      <c r="A55" s="36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5"/>
    </row>
    <row r="56" spans="1:30" x14ac:dyDescent="0.2">
      <c r="A56" s="36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5"/>
    </row>
    <row r="57" spans="1:30" x14ac:dyDescent="0.2">
      <c r="A57" s="36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5"/>
    </row>
    <row r="58" spans="1:30" x14ac:dyDescent="0.2">
      <c r="A58" s="36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5"/>
    </row>
    <row r="59" spans="1:30" x14ac:dyDescent="0.2">
      <c r="A59" s="36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5"/>
    </row>
    <row r="60" spans="1:30" x14ac:dyDescent="0.2">
      <c r="A60" s="36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5"/>
    </row>
    <row r="61" spans="1:30" x14ac:dyDescent="0.2">
      <c r="A61" s="36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5"/>
    </row>
    <row r="62" spans="1:30" ht="11.25" customHeight="1" thickBot="1" x14ac:dyDescent="0.25">
      <c r="A62" s="37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9"/>
    </row>
    <row r="63" spans="1:30" s="18" customFormat="1" ht="26.25" customHeight="1" x14ac:dyDescent="0.2">
      <c r="A63" s="106" t="s">
        <v>82</v>
      </c>
      <c r="B63" s="107"/>
      <c r="C63" s="107" t="s">
        <v>48</v>
      </c>
      <c r="D63" s="107"/>
      <c r="E63" s="107"/>
      <c r="F63" s="107"/>
      <c r="G63" s="107"/>
      <c r="H63" s="107"/>
      <c r="I63" s="107"/>
      <c r="J63" s="107"/>
      <c r="K63" s="107"/>
      <c r="L63" s="107"/>
      <c r="M63" s="107"/>
      <c r="N63" s="107"/>
      <c r="O63" s="107" t="s">
        <v>49</v>
      </c>
      <c r="P63" s="107"/>
      <c r="Q63" s="107"/>
      <c r="R63" s="107"/>
      <c r="S63" s="107"/>
      <c r="T63" s="107"/>
      <c r="U63" s="107"/>
      <c r="V63" s="107"/>
      <c r="W63" s="107"/>
      <c r="X63" s="107"/>
      <c r="Y63" s="107"/>
      <c r="Z63" s="107"/>
      <c r="AA63" s="107" t="s">
        <v>50</v>
      </c>
      <c r="AB63" s="107"/>
      <c r="AC63" s="107"/>
      <c r="AD63" s="115"/>
    </row>
    <row r="64" spans="1:30" s="17" customFormat="1" ht="121.5" customHeight="1" thickBot="1" x14ac:dyDescent="0.3">
      <c r="A64" s="113" t="s">
        <v>104</v>
      </c>
      <c r="B64" s="114"/>
      <c r="C64" s="116" t="s">
        <v>90</v>
      </c>
      <c r="D64" s="117"/>
      <c r="E64" s="117"/>
      <c r="F64" s="117"/>
      <c r="G64" s="117"/>
      <c r="H64" s="117"/>
      <c r="I64" s="117"/>
      <c r="J64" s="117"/>
      <c r="K64" s="117"/>
      <c r="L64" s="117"/>
      <c r="M64" s="117"/>
      <c r="N64" s="117"/>
      <c r="O64" s="116" t="s">
        <v>89</v>
      </c>
      <c r="P64" s="117"/>
      <c r="Q64" s="117"/>
      <c r="R64" s="117"/>
      <c r="S64" s="117"/>
      <c r="T64" s="117"/>
      <c r="U64" s="117"/>
      <c r="V64" s="117"/>
      <c r="W64" s="117"/>
      <c r="X64" s="117"/>
      <c r="Y64" s="117"/>
      <c r="Z64" s="117"/>
      <c r="AA64" s="116" t="s">
        <v>91</v>
      </c>
      <c r="AB64" s="117"/>
      <c r="AC64" s="117"/>
      <c r="AD64" s="118"/>
    </row>
  </sheetData>
  <autoFilter ref="A12:AF39" xr:uid="{00000000-0009-0000-0000-000000000000}"/>
  <mergeCells count="96">
    <mergeCell ref="C1:AA1"/>
    <mergeCell ref="C2:AA3"/>
    <mergeCell ref="AB1:AD1"/>
    <mergeCell ref="AB2:AD2"/>
    <mergeCell ref="AB3:AD3"/>
    <mergeCell ref="A64:B64"/>
    <mergeCell ref="AA63:AD63"/>
    <mergeCell ref="O63:Z63"/>
    <mergeCell ref="C63:N63"/>
    <mergeCell ref="C64:N64"/>
    <mergeCell ref="O64:Z64"/>
    <mergeCell ref="AA64:AD64"/>
    <mergeCell ref="W43:X43"/>
    <mergeCell ref="Y43:Z43"/>
    <mergeCell ref="S43:T43"/>
    <mergeCell ref="A63:B63"/>
    <mergeCell ref="AB44:AC44"/>
    <mergeCell ref="Y44:Z44"/>
    <mergeCell ref="E44:F44"/>
    <mergeCell ref="G44:H44"/>
    <mergeCell ref="O44:P44"/>
    <mergeCell ref="U44:V44"/>
    <mergeCell ref="W44:X44"/>
    <mergeCell ref="I44:J44"/>
    <mergeCell ref="K44:L44"/>
    <mergeCell ref="M44:N44"/>
    <mergeCell ref="A44:B44"/>
    <mergeCell ref="G7:X7"/>
    <mergeCell ref="G8:X8"/>
    <mergeCell ref="A7:F7"/>
    <mergeCell ref="A8:F8"/>
    <mergeCell ref="Q43:R43"/>
    <mergeCell ref="C43:D43"/>
    <mergeCell ref="E43:F43"/>
    <mergeCell ref="G43:H43"/>
    <mergeCell ref="I43:J43"/>
    <mergeCell ref="O43:P43"/>
    <mergeCell ref="A42:B42"/>
    <mergeCell ref="A41:B41"/>
    <mergeCell ref="A43:B43"/>
    <mergeCell ref="A40:AD40"/>
    <mergeCell ref="S41:T41"/>
    <mergeCell ref="U41:V41"/>
    <mergeCell ref="C44:D44"/>
    <mergeCell ref="U43:V43"/>
    <mergeCell ref="AC11:AC12"/>
    <mergeCell ref="G41:H41"/>
    <mergeCell ref="I41:J41"/>
    <mergeCell ref="K41:L41"/>
    <mergeCell ref="M41:N41"/>
    <mergeCell ref="O41:P41"/>
    <mergeCell ref="Q41:R41"/>
    <mergeCell ref="AA42:AA43"/>
    <mergeCell ref="K43:L43"/>
    <mergeCell ref="M43:N43"/>
    <mergeCell ref="Q44:R44"/>
    <mergeCell ref="S44:T44"/>
    <mergeCell ref="A38:AA38"/>
    <mergeCell ref="A39:AD39"/>
    <mergeCell ref="C41:D41"/>
    <mergeCell ref="AB42:AC43"/>
    <mergeCell ref="W41:X41"/>
    <mergeCell ref="Y41:Z41"/>
    <mergeCell ref="A4:AD4"/>
    <mergeCell ref="A5:AD5"/>
    <mergeCell ref="A6:AD6"/>
    <mergeCell ref="A37:B37"/>
    <mergeCell ref="Q11:R11"/>
    <mergeCell ref="AA10:AA12"/>
    <mergeCell ref="A35:A36"/>
    <mergeCell ref="Y7:AD7"/>
    <mergeCell ref="AB10:AC10"/>
    <mergeCell ref="AD10:AD12"/>
    <mergeCell ref="O11:P11"/>
    <mergeCell ref="G11:H11"/>
    <mergeCell ref="W11:X11"/>
    <mergeCell ref="Y11:Z11"/>
    <mergeCell ref="E11:F11"/>
    <mergeCell ref="K11:L11"/>
    <mergeCell ref="M11:N11"/>
    <mergeCell ref="AA41:AD41"/>
    <mergeCell ref="E41:F41"/>
    <mergeCell ref="A33:A34"/>
    <mergeCell ref="A1:B3"/>
    <mergeCell ref="A9:AD9"/>
    <mergeCell ref="A10:A12"/>
    <mergeCell ref="AB11:AB12"/>
    <mergeCell ref="A27:A32"/>
    <mergeCell ref="C11:D11"/>
    <mergeCell ref="B10:B12"/>
    <mergeCell ref="Y8:AD8"/>
    <mergeCell ref="S11:T11"/>
    <mergeCell ref="I11:J11"/>
    <mergeCell ref="A13:A26"/>
    <mergeCell ref="C10:Z10"/>
    <mergeCell ref="U11:V11"/>
  </mergeCells>
  <conditionalFormatting sqref="C43:C44 E43:E44 G43:G44 K43:K44 O43:O44 S43:S44 W43:W44 I43:I44 M43:M44 Q43:Q44 U43:U44 Y43:Y44 AB13:AC16 AB18:AC18 AB20:AC27 AB30:AC37 C13:Z37">
    <cfRule type="cellIs" dxfId="39" priority="387" operator="between">
      <formula>1</formula>
      <formula>9</formula>
    </cfRule>
    <cfRule type="cellIs" dxfId="38" priority="388" stopIfTrue="1" operator="equal">
      <formula>0</formula>
    </cfRule>
    <cfRule type="cellIs" dxfId="37" priority="389" stopIfTrue="1" operator="equal">
      <formula>0</formula>
    </cfRule>
    <cfRule type="cellIs" dxfId="36" priority="390" stopIfTrue="1" operator="equal">
      <formula>0</formula>
    </cfRule>
    <cfRule type="cellIs" dxfId="35" priority="391" stopIfTrue="1" operator="equal">
      <formula>0</formula>
    </cfRule>
    <cfRule type="cellIs" dxfId="34" priority="392" stopIfTrue="1" operator="equal">
      <formula>1</formula>
    </cfRule>
  </conditionalFormatting>
  <conditionalFormatting sqref="C43:C44 E43:E44 G43:G44 K43:K44 O43:O44 S43:S44 W43:W44 I43:I44 M43:M44 Q43:Q44 U43:U44 Y43:Y44 AB13:AC16 AB18:AC18 AB20:AC27 AB30:AC37 C13:Z37">
    <cfRule type="cellIs" dxfId="33" priority="386" operator="equal">
      <formula>0</formula>
    </cfRule>
  </conditionalFormatting>
  <conditionalFormatting sqref="C43:C44 E43:E44 G43:G44 K43:K44 O43:O44 S43:S44 W43:W44 I43:I44 M43:M44 Q43:Q44 U43:U44 Y43:Y44 AB13:AC16 AB18:AC18 AB20:AC27 AB30:AC37 C13:Z37">
    <cfRule type="cellIs" dxfId="32" priority="385" stopIfTrue="1" operator="equal">
      <formula>0</formula>
    </cfRule>
  </conditionalFormatting>
  <conditionalFormatting sqref="AB17:AC17">
    <cfRule type="cellIs" dxfId="31" priority="27" operator="between">
      <formula>1</formula>
      <formula>9</formula>
    </cfRule>
    <cfRule type="cellIs" dxfId="30" priority="28" stopIfTrue="1" operator="equal">
      <formula>0</formula>
    </cfRule>
    <cfRule type="cellIs" dxfId="29" priority="29" stopIfTrue="1" operator="equal">
      <formula>0</formula>
    </cfRule>
    <cfRule type="cellIs" dxfId="28" priority="30" stopIfTrue="1" operator="equal">
      <formula>0</formula>
    </cfRule>
    <cfRule type="cellIs" dxfId="27" priority="31" stopIfTrue="1" operator="equal">
      <formula>0</formula>
    </cfRule>
    <cfRule type="cellIs" dxfId="26" priority="32" stopIfTrue="1" operator="equal">
      <formula>1</formula>
    </cfRule>
  </conditionalFormatting>
  <conditionalFormatting sqref="AB17:AC17">
    <cfRule type="cellIs" dxfId="25" priority="26" operator="equal">
      <formula>0</formula>
    </cfRule>
  </conditionalFormatting>
  <conditionalFormatting sqref="AB17:AC17">
    <cfRule type="cellIs" dxfId="24" priority="25" stopIfTrue="1" operator="equal">
      <formula>0</formula>
    </cfRule>
  </conditionalFormatting>
  <conditionalFormatting sqref="AB19:AC19">
    <cfRule type="cellIs" dxfId="23" priority="19" operator="between">
      <formula>1</formula>
      <formula>9</formula>
    </cfRule>
    <cfRule type="cellIs" dxfId="22" priority="20" stopIfTrue="1" operator="equal">
      <formula>0</formula>
    </cfRule>
    <cfRule type="cellIs" dxfId="21" priority="21" stopIfTrue="1" operator="equal">
      <formula>0</formula>
    </cfRule>
    <cfRule type="cellIs" dxfId="20" priority="22" stopIfTrue="1" operator="equal">
      <formula>0</formula>
    </cfRule>
    <cfRule type="cellIs" dxfId="19" priority="23" stopIfTrue="1" operator="equal">
      <formula>0</formula>
    </cfRule>
    <cfRule type="cellIs" dxfId="18" priority="24" stopIfTrue="1" operator="equal">
      <formula>1</formula>
    </cfRule>
  </conditionalFormatting>
  <conditionalFormatting sqref="AB19:AC19">
    <cfRule type="cellIs" dxfId="17" priority="18" operator="equal">
      <formula>0</formula>
    </cfRule>
  </conditionalFormatting>
  <conditionalFormatting sqref="AB19:AC19">
    <cfRule type="cellIs" dxfId="16" priority="17" stopIfTrue="1" operator="equal">
      <formula>0</formula>
    </cfRule>
  </conditionalFormatting>
  <conditionalFormatting sqref="AB28:AC28">
    <cfRule type="cellIs" dxfId="15" priority="11" operator="between">
      <formula>1</formula>
      <formula>9</formula>
    </cfRule>
    <cfRule type="cellIs" dxfId="14" priority="12" stopIfTrue="1" operator="equal">
      <formula>0</formula>
    </cfRule>
    <cfRule type="cellIs" dxfId="13" priority="13" stopIfTrue="1" operator="equal">
      <formula>0</formula>
    </cfRule>
    <cfRule type="cellIs" dxfId="12" priority="14" stopIfTrue="1" operator="equal">
      <formula>0</formula>
    </cfRule>
    <cfRule type="cellIs" dxfId="11" priority="15" stopIfTrue="1" operator="equal">
      <formula>0</formula>
    </cfRule>
    <cfRule type="cellIs" dxfId="10" priority="16" stopIfTrue="1" operator="equal">
      <formula>1</formula>
    </cfRule>
  </conditionalFormatting>
  <conditionalFormatting sqref="AB28:AC28">
    <cfRule type="cellIs" dxfId="9" priority="10" operator="equal">
      <formula>0</formula>
    </cfRule>
  </conditionalFormatting>
  <conditionalFormatting sqref="AB28:AC28">
    <cfRule type="cellIs" dxfId="8" priority="9" stopIfTrue="1" operator="equal">
      <formula>0</formula>
    </cfRule>
  </conditionalFormatting>
  <conditionalFormatting sqref="AB29:AC29">
    <cfRule type="cellIs" dxfId="7" priority="3" operator="between">
      <formula>1</formula>
      <formula>9</formula>
    </cfRule>
    <cfRule type="cellIs" dxfId="6" priority="4" stopIfTrue="1" operator="equal">
      <formula>0</formula>
    </cfRule>
    <cfRule type="cellIs" dxfId="5" priority="5" stopIfTrue="1" operator="equal">
      <formula>0</formula>
    </cfRule>
    <cfRule type="cellIs" dxfId="4" priority="6" stopIfTrue="1" operator="equal">
      <formula>0</formula>
    </cfRule>
    <cfRule type="cellIs" dxfId="3" priority="7" stopIfTrue="1" operator="equal">
      <formula>0</formula>
    </cfRule>
    <cfRule type="cellIs" dxfId="2" priority="8" stopIfTrue="1" operator="equal">
      <formula>1</formula>
    </cfRule>
  </conditionalFormatting>
  <conditionalFormatting sqref="AB29:AC29">
    <cfRule type="cellIs" dxfId="1" priority="2" operator="equal">
      <formula>0</formula>
    </cfRule>
  </conditionalFormatting>
  <conditionalFormatting sqref="AB29:AC29">
    <cfRule type="cellIs" dxfId="0" priority="1" stopIfTrue="1" operator="equal">
      <formula>0</formula>
    </cfRule>
  </conditionalFormatting>
  <printOptions horizontalCentered="1"/>
  <pageMargins left="0.39370078740157483" right="0.39370078740157483" top="0.59055118110236227" bottom="0.59055118110236227" header="0" footer="0"/>
  <pageSetup scale="45" fitToHeight="2" orientation="portrait" r:id="rId1"/>
  <headerFooter alignWithMargins="0"/>
  <rowBreaks count="1" manualBreakCount="1">
    <brk id="30" max="29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 Plan de Trabajo SST</vt:lpstr>
      <vt:lpstr>' Plan de Trabajo SST'!Área_de_impresión</vt:lpstr>
      <vt:lpstr>' Plan de Trabajo SST'!Títulos_a_imprimir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2022-07-16T20:11:02Z</cp:lastPrinted>
  <dcterms:created xsi:type="dcterms:W3CDTF">2008-10-02T15:12:04Z</dcterms:created>
  <dcterms:modified xsi:type="dcterms:W3CDTF">2023-02-11T21:10:15Z</dcterms:modified>
</cp:coreProperties>
</file>