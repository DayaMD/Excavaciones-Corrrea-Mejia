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F:\dayana\EXCAVACIONES CORREA MEJIA S.A.S\SGSST\SG-SST AÑO 2021\15_Plan de Trabajo Anual\"/>
    </mc:Choice>
  </mc:AlternateContent>
  <xr:revisionPtr revIDLastSave="0" documentId="13_ncr:1_{9CC60069-243C-4A05-8009-B092006A1489}" xr6:coauthVersionLast="43" xr6:coauthVersionMax="43" xr10:uidLastSave="{00000000-0000-0000-0000-000000000000}"/>
  <bookViews>
    <workbookView xWindow="-120" yWindow="-120" windowWidth="20730" windowHeight="11160" tabRatio="584" xr2:uid="{00000000-000D-0000-FFFF-FFFF00000000}"/>
  </bookViews>
  <sheets>
    <sheet name=" Plan de Trabajo SST" sheetId="5" r:id="rId1"/>
    <sheet name="Hoja1" sheetId="6" r:id="rId2"/>
    <sheet name="Cumpl.Trabajo Anual 1er Semestr" sheetId="7" r:id="rId3"/>
  </sheets>
  <definedNames>
    <definedName name="_xlnm.Print_Area" localSheetId="0">' Plan de Trabajo SST'!$A$1:$AD$61</definedName>
    <definedName name="_xlnm.Print_Area" localSheetId="2">'Cumpl.Trabajo Anual 1er Semestr'!$A$1:$AD$59</definedName>
    <definedName name="_xlnm.Print_Titles" localSheetId="0">' Plan de Trabajo SST'!$10:$12</definedName>
    <definedName name="_xlnm.Print_Titles" localSheetId="2">'Cumpl.Trabajo Anual 1er Semestr'!$10:$12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Z34" i="7" l="1"/>
  <c r="Z39" i="7" s="1"/>
  <c r="Y34" i="7"/>
  <c r="Y39" i="7" s="1"/>
  <c r="X34" i="7"/>
  <c r="X39" i="7" s="1"/>
  <c r="W34" i="7"/>
  <c r="W39" i="7" s="1"/>
  <c r="V34" i="7"/>
  <c r="V39" i="7" s="1"/>
  <c r="U34" i="7"/>
  <c r="U39" i="7" s="1"/>
  <c r="T34" i="7"/>
  <c r="T39" i="7" s="1"/>
  <c r="S34" i="7"/>
  <c r="S39" i="7" s="1"/>
  <c r="R34" i="7"/>
  <c r="R39" i="7" s="1"/>
  <c r="Q34" i="7"/>
  <c r="Q39" i="7" s="1"/>
  <c r="P34" i="7"/>
  <c r="P39" i="7" s="1"/>
  <c r="O34" i="7"/>
  <c r="O39" i="7" s="1"/>
  <c r="N34" i="7"/>
  <c r="N39" i="7" s="1"/>
  <c r="M34" i="7"/>
  <c r="M39" i="7" s="1"/>
  <c r="L34" i="7"/>
  <c r="L39" i="7" s="1"/>
  <c r="K34" i="7"/>
  <c r="K39" i="7" s="1"/>
  <c r="J34" i="7"/>
  <c r="J39" i="7" s="1"/>
  <c r="I34" i="7"/>
  <c r="I39" i="7" s="1"/>
  <c r="H34" i="7"/>
  <c r="H39" i="7" s="1"/>
  <c r="G34" i="7"/>
  <c r="G39" i="7" s="1"/>
  <c r="F34" i="7"/>
  <c r="F39" i="7" s="1"/>
  <c r="E34" i="7"/>
  <c r="E39" i="7" s="1"/>
  <c r="D34" i="7"/>
  <c r="D39" i="7" s="1"/>
  <c r="C34" i="7"/>
  <c r="C39" i="7" s="1"/>
  <c r="AA39" i="7" l="1"/>
  <c r="E40" i="7"/>
  <c r="I40" i="7"/>
  <c r="M40" i="7"/>
  <c r="Q40" i="7"/>
  <c r="U40" i="7"/>
  <c r="C40" i="7"/>
  <c r="AB39" i="7"/>
  <c r="AD39" i="7" s="1"/>
  <c r="K40" i="7"/>
  <c r="O40" i="7"/>
  <c r="S40" i="7"/>
  <c r="W40" i="7"/>
  <c r="G40" i="7"/>
  <c r="Y40" i="7"/>
  <c r="C34" i="5"/>
  <c r="C39" i="5" s="1"/>
  <c r="Z34" i="5"/>
  <c r="Z39" i="5" s="1"/>
  <c r="Y34" i="5"/>
  <c r="Y39" i="5" s="1"/>
  <c r="X34" i="5"/>
  <c r="X39" i="5" s="1"/>
  <c r="W34" i="5"/>
  <c r="W39" i="5" s="1"/>
  <c r="V34" i="5"/>
  <c r="V39" i="5" s="1"/>
  <c r="U34" i="5"/>
  <c r="U39" i="5" s="1"/>
  <c r="T34" i="5"/>
  <c r="T39" i="5" s="1"/>
  <c r="S34" i="5"/>
  <c r="S39" i="5" s="1"/>
  <c r="R34" i="5"/>
  <c r="R39" i="5" s="1"/>
  <c r="Q34" i="5"/>
  <c r="Q39" i="5" s="1"/>
  <c r="P34" i="5"/>
  <c r="P39" i="5" s="1"/>
  <c r="O34" i="5"/>
  <c r="O39" i="5" s="1"/>
  <c r="N34" i="5"/>
  <c r="N39" i="5" s="1"/>
  <c r="M34" i="5"/>
  <c r="M39" i="5" s="1"/>
  <c r="L34" i="5"/>
  <c r="L39" i="5" s="1"/>
  <c r="K34" i="5"/>
  <c r="K39" i="5" s="1"/>
  <c r="J34" i="5"/>
  <c r="J39" i="5" s="1"/>
  <c r="I34" i="5"/>
  <c r="I39" i="5" s="1"/>
  <c r="H34" i="5"/>
  <c r="H39" i="5" s="1"/>
  <c r="G34" i="5"/>
  <c r="G39" i="5" s="1"/>
  <c r="F34" i="5"/>
  <c r="F39" i="5" s="1"/>
  <c r="E34" i="5"/>
  <c r="E39" i="5" s="1"/>
  <c r="D34" i="5"/>
  <c r="D39" i="5" s="1"/>
  <c r="K40" i="5" l="1"/>
  <c r="G40" i="5"/>
  <c r="O40" i="5"/>
  <c r="E40" i="5"/>
  <c r="Q40" i="5"/>
  <c r="W40" i="5"/>
  <c r="S40" i="5"/>
  <c r="Y40" i="5"/>
  <c r="U40" i="5"/>
  <c r="I40" i="5"/>
  <c r="M40" i="5"/>
  <c r="AB39" i="5"/>
  <c r="AD39" i="5" s="1"/>
  <c r="C40" i="5"/>
  <c r="AA3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F25" authorId="0" shapeId="0" xr:uid="{BFCD60C2-82D1-4CF8-BB1A-0F8D7A1A440F}">
      <text>
        <r>
          <rPr>
            <b/>
            <sz val="9"/>
            <color indexed="81"/>
            <rFont val="Tahoma"/>
            <charset val="1"/>
          </rPr>
          <t>PRE INGRESO</t>
        </r>
      </text>
    </comment>
    <comment ref="H25" authorId="0" shapeId="0" xr:uid="{443A96C9-416D-4A7F-A4DE-2D3DF62708F8}">
      <text>
        <r>
          <rPr>
            <b/>
            <sz val="9"/>
            <color indexed="81"/>
            <rFont val="Tahoma"/>
            <charset val="1"/>
          </rPr>
          <t>PRE INGRESO</t>
        </r>
      </text>
    </comment>
    <comment ref="J25" authorId="0" shapeId="0" xr:uid="{91546B42-4C72-4EB6-A246-CC5BB39598EA}">
      <text>
        <r>
          <rPr>
            <b/>
            <sz val="9"/>
            <color indexed="81"/>
            <rFont val="Tahoma"/>
            <charset val="1"/>
          </rPr>
          <t>PRE INGRESO</t>
        </r>
      </text>
    </comment>
    <comment ref="N25" authorId="0" shapeId="0" xr:uid="{DF739AAE-06A1-425C-A652-9BC882FA768E}">
      <text>
        <r>
          <rPr>
            <b/>
            <sz val="9"/>
            <color indexed="81"/>
            <rFont val="Tahoma"/>
            <charset val="1"/>
          </rPr>
          <t>PRE INGRESO</t>
        </r>
      </text>
    </comment>
    <comment ref="P25" authorId="0" shapeId="0" xr:uid="{0072F8BF-10C9-4AF6-9EAF-08FA0C762583}">
      <text>
        <r>
          <rPr>
            <b/>
            <sz val="9"/>
            <color indexed="81"/>
            <rFont val="Tahoma"/>
            <charset val="1"/>
          </rPr>
          <t>PRE INGRESO</t>
        </r>
      </text>
    </comment>
    <comment ref="R25" authorId="0" shapeId="0" xr:uid="{B63ADB88-5D62-4D73-9C7D-EF4C9CDC977B}">
      <text>
        <r>
          <rPr>
            <b/>
            <sz val="9"/>
            <color indexed="81"/>
            <rFont val="Tahoma"/>
            <charset val="1"/>
          </rPr>
          <t>PRE INGRESO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F25" authorId="0" shapeId="0" xr:uid="{5AB4ADED-83F7-4432-9394-4F25BFF1CC2D}">
      <text>
        <r>
          <rPr>
            <b/>
            <sz val="9"/>
            <color indexed="81"/>
            <rFont val="Tahoma"/>
            <charset val="1"/>
          </rPr>
          <t>PRE INGRESO</t>
        </r>
      </text>
    </comment>
    <comment ref="H25" authorId="0" shapeId="0" xr:uid="{3B01F1B4-B920-4285-A911-523C12534B5B}">
      <text>
        <r>
          <rPr>
            <b/>
            <sz val="9"/>
            <color indexed="81"/>
            <rFont val="Tahoma"/>
            <charset val="1"/>
          </rPr>
          <t>PRE INGRESO</t>
        </r>
      </text>
    </comment>
    <comment ref="J25" authorId="0" shapeId="0" xr:uid="{461832C1-E123-47DD-9F91-7E104FF88C8A}">
      <text>
        <r>
          <rPr>
            <b/>
            <sz val="9"/>
            <color indexed="81"/>
            <rFont val="Tahoma"/>
            <charset val="1"/>
          </rPr>
          <t>PRE INGRESO</t>
        </r>
      </text>
    </comment>
    <comment ref="N25" authorId="0" shapeId="0" xr:uid="{6339D365-6587-4A13-8644-8AEEF2182E84}">
      <text>
        <r>
          <rPr>
            <b/>
            <sz val="9"/>
            <color indexed="81"/>
            <rFont val="Tahoma"/>
            <charset val="1"/>
          </rPr>
          <t>PRE INGRESO</t>
        </r>
      </text>
    </comment>
  </commentList>
</comments>
</file>

<file path=xl/sharedStrings.xml><?xml version="1.0" encoding="utf-8"?>
<sst xmlns="http://schemas.openxmlformats.org/spreadsheetml/2006/main" count="322" uniqueCount="104">
  <si>
    <t>OBJETIVO</t>
  </si>
  <si>
    <t>INDICADOR</t>
  </si>
  <si>
    <t>P</t>
  </si>
  <si>
    <t>E</t>
  </si>
  <si>
    <t>CUMPLIMIENTO ANUAL</t>
  </si>
  <si>
    <t>META</t>
  </si>
  <si>
    <t>(Nº de Actividades Ejecutadas / Nº de Actividades Programadas) x 100</t>
  </si>
  <si>
    <t>% COBERTURA DEL PROGRAMA</t>
  </si>
  <si>
    <t xml:space="preserve">Responsable (s) </t>
  </si>
  <si>
    <t>OBSERVACIONES</t>
  </si>
  <si>
    <t>Total Actividades</t>
  </si>
  <si>
    <t>Actividades Programadas en el Mes</t>
  </si>
  <si>
    <t>JULIO</t>
  </si>
  <si>
    <t>AGOSTO</t>
  </si>
  <si>
    <t>SEPTIEMBRE</t>
  </si>
  <si>
    <t>OCTUBRE</t>
  </si>
  <si>
    <t>NOVIEMBRE</t>
  </si>
  <si>
    <t>ENERO</t>
  </si>
  <si>
    <t>FEBRERO</t>
  </si>
  <si>
    <t>MARZO</t>
  </si>
  <si>
    <t>ABRIL</t>
  </si>
  <si>
    <t>MAYO</t>
  </si>
  <si>
    <t>JUNIO</t>
  </si>
  <si>
    <t>DICIEMBRE</t>
  </si>
  <si>
    <t>% Cumplimiento Meta en el Mes</t>
  </si>
  <si>
    <t>Programado</t>
  </si>
  <si>
    <t>Ejecutado</t>
  </si>
  <si>
    <t>II HACER</t>
  </si>
  <si>
    <t>III VERIFICAR</t>
  </si>
  <si>
    <t>x</t>
  </si>
  <si>
    <t>RECURSOS</t>
  </si>
  <si>
    <t>Financieros</t>
  </si>
  <si>
    <t>IV ACTUAR</t>
  </si>
  <si>
    <t>I PLANEAR</t>
  </si>
  <si>
    <t xml:space="preserve">Humano </t>
  </si>
  <si>
    <t xml:space="preserve">Auditoria anual </t>
  </si>
  <si>
    <t>Ciclo PHVA</t>
  </si>
  <si>
    <t>ACTIVIDADES</t>
  </si>
  <si>
    <t>Externo</t>
  </si>
  <si>
    <t>Gerencia</t>
  </si>
  <si>
    <t>Cumplimiento del 90% de las actividades planeadas</t>
  </si>
  <si>
    <t>Seguimiento al proceso de afiliación al Sistema General de Riesgos</t>
  </si>
  <si>
    <t>Socializar Política de seguridad y salud en el trabajo</t>
  </si>
  <si>
    <t xml:space="preserve">Evaluación de proveedores </t>
  </si>
  <si>
    <t>Análisis de accidentalidad</t>
  </si>
  <si>
    <t>Análisis de indicadores</t>
  </si>
  <si>
    <t>Revisión anual por la Gerencia al SST</t>
  </si>
  <si>
    <t>ELABORO</t>
  </si>
  <si>
    <t>REVISO</t>
  </si>
  <si>
    <t>APROBO</t>
  </si>
  <si>
    <t xml:space="preserve">PLAN DE TRABAJO ANUAL DE SEGURIDAD Y SALUD EN EL TRABAJO </t>
  </si>
  <si>
    <t xml:space="preserve">Responsable del SG SST </t>
  </si>
  <si>
    <t>PERIODO EVALUADO</t>
  </si>
  <si>
    <t>CRONOGRAMA</t>
  </si>
  <si>
    <t>inspección de botiquín y extintores</t>
  </si>
  <si>
    <t>MONITOREO DEL PLAN DE TRABAJO ANUAL /VIGENCIA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</si>
  <si>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</si>
  <si>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</si>
  <si>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</si>
  <si>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</si>
  <si>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</si>
  <si>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</si>
  <si>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</si>
  <si>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</si>
  <si>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</si>
  <si>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</si>
  <si>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</si>
  <si>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</si>
  <si>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% Ejecución Mensual</t>
  </si>
  <si>
    <t>1. CUMPLIMIENTO DEL PLAN DE TRABAJO ANUAL</t>
  </si>
  <si>
    <t>Implementar, Documentar  y ejecutar las actividades que se contemplen en el Sistema de Gestión de Seguridad y Salud en el Trabajo para dar cumpimiento a las metas y objetivos de conformidad con la normatividad legal vigente.</t>
  </si>
  <si>
    <t>ENERO - DICIEMBRE DEL AÑO 2021</t>
  </si>
  <si>
    <t xml:space="preserve">Revisión y actualización (si lo requiere) de la Política de SST. </t>
  </si>
  <si>
    <t xml:space="preserve">Realizar cronograma de capacitación para la vigencia año 2021. </t>
  </si>
  <si>
    <t>Elaboración Plan de Trabajo para el año 2021</t>
  </si>
  <si>
    <t>Revisión y actualización (si lo requiere) de la Matriz de identificación de peligros, evaluación y valoración de los riesgos.</t>
  </si>
  <si>
    <t>Revisión y actualización (si lo requiere) de la Matriz Legal</t>
  </si>
  <si>
    <t>Elaboración del presupuesto anual vigencia 2021</t>
  </si>
  <si>
    <t xml:space="preserve">Se incluyen las capacitaciones para los COMITES. </t>
  </si>
  <si>
    <t>Implementar actividades para prevenir riesgo psicosocial</t>
  </si>
  <si>
    <t>Revisión de las medida correctivas preventivas y de mejora implementadas</t>
  </si>
  <si>
    <t>FECHA DE ELABORACIÓN</t>
  </si>
  <si>
    <t>Programar reuniones de Comité de Convivencia</t>
  </si>
  <si>
    <t>Realizar reuniones del Comité de Convivencia</t>
  </si>
  <si>
    <t>Responsable del SG SST/Comité de Convivencia</t>
  </si>
  <si>
    <t>SISTEMA DE GESTIÓN DE LA SEGURIDAD Y SALUD EN EL TRABAJO</t>
  </si>
  <si>
    <t>Fecha: 24/01/2020</t>
  </si>
  <si>
    <t>Versión 001</t>
  </si>
  <si>
    <t xml:space="preserve">Se construye en la primera reunión del comite en el año 2021, y se socializa. </t>
  </si>
  <si>
    <t>Nombre:  Myriam Baron
Cargo: Abogada especialista en SST
Licencia: Resolucion 2403 de 2016.</t>
  </si>
  <si>
    <t>Nombre: Dayana Madroñero Diaz
Cargo: Profesional en SST 
Licencia: Resolución  1554 de 2020</t>
  </si>
  <si>
    <t>Nombre: Lina Maria Correa
Cargo: Gerente</t>
  </si>
  <si>
    <t>Página1 de 2</t>
  </si>
  <si>
    <t>Ahora COPASST</t>
  </si>
  <si>
    <t>Responsable del SG SST/COPASST</t>
  </si>
  <si>
    <t>Gerencia, COPASST</t>
  </si>
  <si>
    <t>COPASST</t>
  </si>
  <si>
    <t>Programar reuniones de COPASST</t>
  </si>
  <si>
    <t xml:space="preserve">Se construye en la primera reunión del COPASST en el año 2021, y se socializa. </t>
  </si>
  <si>
    <t>Gerencia, Responsable del SG SST/COPASST</t>
  </si>
  <si>
    <t>Realizar reuniones del COPASST</t>
  </si>
  <si>
    <t>Realizar exámenes medico ocupacionales</t>
  </si>
  <si>
    <t>Ver actas copasst junio y diciembre</t>
  </si>
  <si>
    <t>29 de enero del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</si>
</sst>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* #,##0.00_-;\-[$€-2]* #,##0.00_-;_-[$€-2]* &quot;-&quot;??_-"/>
  </numFmts>
  <fonts count="26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2" tint="-0.89999084444715716"/>
      <name val="Arial"/>
      <family val="2"/>
    </font>
    <font>
      <b/>
      <sz val="12"/>
      <color theme="2" tint="-0.89999084444715716"/>
      <name val="Arial"/>
      <family val="2"/>
    </font>
    <font>
      <b/>
      <sz val="12"/>
      <color theme="1"/>
      <name val="Arial"/>
      <family val="2"/>
    </font>
    <font>
      <b/>
      <sz val="9"/>
      <color indexed="81"/>
      <name val="Tahoma"/>
      <charset val="1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77111117893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indexed="64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4659260841701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6" fillId="7" borderId="1" applyNumberFormat="0" applyAlignment="0" applyProtection="0"/>
    <xf numFmtId="164" fontId="7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21" borderId="0" applyNumberFormat="0" applyBorder="0" applyAlignment="0" applyProtection="0"/>
    <xf numFmtId="0" fontId="10" fillId="0" borderId="0"/>
    <xf numFmtId="17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16" borderId="3" applyNumberFormat="0" applyAlignment="0" applyProtection="0"/>
    <xf numFmtId="0" fontId="12" fillId="0" borderId="0" applyNumberFormat="0" applyFill="0" applyBorder="0" applyAlignment="0" applyProtection="0"/>
    <xf numFmtId="0" fontId="13" fillId="0" borderId="4" applyNumberFormat="0" applyFill="0" applyAlignment="0" applyProtection="0"/>
  </cellStyleXfs>
  <cellXfs count="123">
    <xf numFmtId="0" fontId="0" fillId="0" borderId="0" xfId="0"/>
    <xf numFmtId="0" fontId="16" fillId="0" borderId="0" xfId="0" applyFont="1"/>
    <xf numFmtId="17" fontId="20" fillId="0" borderId="0" xfId="32" applyFont="1" applyFill="1" applyProtection="1">
      <protection locked="0"/>
    </xf>
    <xf numFmtId="0" fontId="15" fillId="0" borderId="20" xfId="0" applyFont="1" applyFill="1" applyBorder="1" applyAlignment="1">
      <alignment horizontal="center" vertical="center" wrapText="1"/>
    </xf>
    <xf numFmtId="0" fontId="16" fillId="0" borderId="0" xfId="0" applyFont="1" applyFill="1"/>
    <xf numFmtId="0" fontId="16" fillId="0" borderId="0" xfId="0" applyFont="1" applyAlignment="1">
      <alignment horizontal="center"/>
    </xf>
    <xf numFmtId="1" fontId="20" fillId="0" borderId="20" xfId="32" applyNumberFormat="1" applyFont="1" applyFill="1" applyBorder="1" applyAlignment="1" applyProtection="1">
      <alignment horizontal="center" vertical="center"/>
      <protection locked="0"/>
    </xf>
    <xf numFmtId="17" fontId="14" fillId="22" borderId="20" xfId="32" applyFont="1" applyFill="1" applyBorder="1" applyAlignment="1" applyProtection="1">
      <alignment horizontal="center" vertical="center"/>
    </xf>
    <xf numFmtId="0" fontId="16" fillId="0" borderId="21" xfId="0" applyFont="1" applyFill="1" applyBorder="1" applyAlignment="1">
      <alignment vertical="center" wrapText="1"/>
    </xf>
    <xf numFmtId="0" fontId="16" fillId="0" borderId="21" xfId="0" applyFont="1" applyFill="1" applyBorder="1" applyAlignment="1">
      <alignment vertical="center"/>
    </xf>
    <xf numFmtId="0" fontId="16" fillId="0" borderId="21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justify"/>
    </xf>
    <xf numFmtId="17" fontId="14" fillId="0" borderId="20" xfId="32" applyFont="1" applyFill="1" applyBorder="1" applyAlignment="1" applyProtection="1">
      <alignment horizontal="center" vertical="center"/>
    </xf>
    <xf numFmtId="1" fontId="20" fillId="23" borderId="20" xfId="32" applyNumberFormat="1" applyFont="1" applyFill="1" applyBorder="1" applyAlignment="1" applyProtection="1">
      <alignment horizontal="center" vertical="center"/>
      <protection locked="0"/>
    </xf>
    <xf numFmtId="1" fontId="20" fillId="23" borderId="22" xfId="32" applyNumberFormat="1" applyFont="1" applyFill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>
      <alignment horizontal="center" vertical="center" wrapText="1"/>
    </xf>
    <xf numFmtId="0" fontId="21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1" fontId="20" fillId="0" borderId="24" xfId="32" applyNumberFormat="1" applyFont="1" applyFill="1" applyBorder="1" applyAlignment="1" applyProtection="1">
      <alignment horizontal="center" vertical="center"/>
      <protection locked="0"/>
    </xf>
    <xf numFmtId="17" fontId="22" fillId="0" borderId="25" xfId="32" applyFont="1" applyFill="1" applyBorder="1" applyAlignment="1" applyProtection="1">
      <alignment horizontal="center" vertical="center" wrapText="1"/>
      <protection locked="0"/>
    </xf>
    <xf numFmtId="0" fontId="16" fillId="0" borderId="26" xfId="0" applyFont="1" applyFill="1" applyBorder="1" applyAlignment="1">
      <alignment horizontal="left" vertical="center" wrapText="1"/>
    </xf>
    <xf numFmtId="1" fontId="20" fillId="0" borderId="26" xfId="32" applyNumberFormat="1" applyFont="1" applyFill="1" applyBorder="1" applyAlignment="1" applyProtection="1">
      <alignment horizontal="center" vertical="center"/>
      <protection locked="0"/>
    </xf>
    <xf numFmtId="17" fontId="22" fillId="0" borderId="27" xfId="32" applyFont="1" applyFill="1" applyBorder="1" applyAlignment="1" applyProtection="1">
      <alignment horizontal="center" vertical="center" wrapText="1"/>
      <protection locked="0"/>
    </xf>
    <xf numFmtId="1" fontId="20" fillId="0" borderId="28" xfId="32" applyNumberFormat="1" applyFont="1" applyFill="1" applyBorder="1" applyAlignment="1" applyProtection="1">
      <alignment horizontal="center" vertical="center"/>
      <protection locked="0"/>
    </xf>
    <xf numFmtId="1" fontId="20" fillId="22" borderId="28" xfId="32" applyNumberFormat="1" applyFont="1" applyFill="1" applyBorder="1" applyAlignment="1" applyProtection="1">
      <alignment horizontal="center" vertical="center"/>
      <protection locked="0"/>
    </xf>
    <xf numFmtId="17" fontId="23" fillId="0" borderId="29" xfId="32" applyFont="1" applyFill="1" applyBorder="1" applyAlignment="1" applyProtection="1">
      <alignment vertical="center" wrapText="1"/>
      <protection locked="0"/>
    </xf>
    <xf numFmtId="0" fontId="16" fillId="0" borderId="30" xfId="0" applyFont="1" applyFill="1" applyBorder="1" applyAlignment="1">
      <alignment horizontal="left" vertical="center" wrapText="1"/>
    </xf>
    <xf numFmtId="9" fontId="18" fillId="0" borderId="31" xfId="33" applyFont="1" applyFill="1" applyBorder="1" applyAlignment="1">
      <alignment horizontal="center" vertical="center"/>
    </xf>
    <xf numFmtId="9" fontId="15" fillId="0" borderId="32" xfId="33" applyFont="1" applyFill="1" applyBorder="1" applyAlignment="1">
      <alignment horizontal="center" vertical="center"/>
    </xf>
    <xf numFmtId="9" fontId="15" fillId="0" borderId="33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15" fillId="25" borderId="50" xfId="0" applyFont="1" applyFill="1" applyBorder="1" applyAlignment="1">
      <alignment horizontal="center" vertical="center" textRotation="90" wrapText="1"/>
    </xf>
    <xf numFmtId="17" fontId="14" fillId="0" borderId="20" xfId="32" applyFont="1" applyFill="1" applyBorder="1" applyAlignment="1" applyProtection="1">
      <alignment horizontal="center" vertical="center"/>
    </xf>
    <xf numFmtId="0" fontId="17" fillId="0" borderId="6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 wrapText="1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wrapText="1"/>
    </xf>
    <xf numFmtId="0" fontId="15" fillId="0" borderId="8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9" fontId="20" fillId="0" borderId="22" xfId="33" applyFont="1" applyFill="1" applyBorder="1" applyAlignment="1" applyProtection="1">
      <alignment horizontal="center" vertical="center"/>
      <protection locked="0"/>
    </xf>
    <xf numFmtId="9" fontId="20" fillId="0" borderId="34" xfId="33" applyFont="1" applyFill="1" applyBorder="1" applyAlignment="1" applyProtection="1">
      <alignment horizontal="center" vertical="center"/>
      <protection locked="0"/>
    </xf>
    <xf numFmtId="9" fontId="20" fillId="0" borderId="35" xfId="33" applyFont="1" applyFill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16" fillId="0" borderId="36" xfId="0" applyNumberFormat="1" applyFont="1" applyFill="1" applyBorder="1" applyAlignment="1">
      <alignment horizontal="center" vertical="center" wrapText="1"/>
    </xf>
    <xf numFmtId="0" fontId="16" fillId="0" borderId="37" xfId="0" applyNumberFormat="1" applyFont="1" applyFill="1" applyBorder="1" applyAlignment="1">
      <alignment horizontal="center" vertical="center" wrapText="1"/>
    </xf>
    <xf numFmtId="9" fontId="24" fillId="0" borderId="22" xfId="33" applyFont="1" applyFill="1" applyBorder="1" applyAlignment="1" applyProtection="1">
      <alignment horizontal="center" vertical="center"/>
      <protection locked="0"/>
    </xf>
    <xf numFmtId="9" fontId="24" fillId="0" borderId="35" xfId="33" applyFont="1" applyFill="1" applyBorder="1" applyAlignment="1" applyProtection="1">
      <alignment horizontal="center" vertical="center"/>
      <protection locked="0"/>
    </xf>
    <xf numFmtId="9" fontId="24" fillId="0" borderId="34" xfId="33" applyFont="1" applyFill="1" applyBorder="1" applyAlignment="1" applyProtection="1">
      <alignment horizontal="center" vertical="center"/>
      <protection locked="0"/>
    </xf>
    <xf numFmtId="0" fontId="15" fillId="0" borderId="38" xfId="0" applyFont="1" applyBorder="1" applyAlignment="1">
      <alignment horizontal="left"/>
    </xf>
    <xf numFmtId="0" fontId="16" fillId="0" borderId="39" xfId="0" applyFont="1" applyBorder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15" xfId="0" applyFont="1" applyBorder="1" applyAlignment="1">
      <alignment horizontal="left"/>
    </xf>
    <xf numFmtId="0" fontId="16" fillId="0" borderId="16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19" xfId="0" applyFont="1" applyBorder="1" applyAlignment="1">
      <alignment horizontal="left"/>
    </xf>
    <xf numFmtId="0" fontId="15" fillId="0" borderId="40" xfId="0" applyFont="1" applyFill="1" applyBorder="1" applyAlignment="1">
      <alignment horizontal="justify" vertical="center" wrapText="1"/>
    </xf>
    <xf numFmtId="0" fontId="15" fillId="0" borderId="34" xfId="0" applyFont="1" applyFill="1" applyBorder="1" applyAlignment="1">
      <alignment horizontal="justify" vertical="center" wrapText="1"/>
    </xf>
    <xf numFmtId="0" fontId="15" fillId="24" borderId="5" xfId="0" applyFont="1" applyFill="1" applyBorder="1" applyAlignment="1">
      <alignment horizontal="center" vertical="center"/>
    </xf>
    <xf numFmtId="0" fontId="15" fillId="24" borderId="13" xfId="0" applyFont="1" applyFill="1" applyBorder="1" applyAlignment="1">
      <alignment horizontal="center" vertical="center"/>
    </xf>
    <xf numFmtId="0" fontId="15" fillId="24" borderId="14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justify" vertical="center" wrapText="1"/>
    </xf>
    <xf numFmtId="0" fontId="16" fillId="0" borderId="34" xfId="0" applyFont="1" applyFill="1" applyBorder="1" applyAlignment="1">
      <alignment horizontal="justify" vertical="center" wrapText="1"/>
    </xf>
    <xf numFmtId="0" fontId="15" fillId="0" borderId="40" xfId="0" applyFont="1" applyFill="1" applyBorder="1" applyAlignment="1">
      <alignment horizontal="center" vertical="center" wrapText="1"/>
    </xf>
    <xf numFmtId="0" fontId="15" fillId="0" borderId="34" xfId="0" applyFont="1" applyFill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center"/>
    </xf>
    <xf numFmtId="0" fontId="16" fillId="0" borderId="35" xfId="0" applyFont="1" applyFill="1" applyBorder="1" applyAlignment="1">
      <alignment horizontal="center"/>
    </xf>
    <xf numFmtId="0" fontId="16" fillId="0" borderId="39" xfId="0" applyFont="1" applyFill="1" applyBorder="1" applyAlignment="1">
      <alignment horizontal="center"/>
    </xf>
    <xf numFmtId="0" fontId="16" fillId="0" borderId="41" xfId="0" applyFont="1" applyFill="1" applyBorder="1" applyAlignment="1">
      <alignment horizontal="center"/>
    </xf>
    <xf numFmtId="17" fontId="16" fillId="0" borderId="22" xfId="32" applyFont="1" applyFill="1" applyBorder="1" applyAlignment="1" applyProtection="1">
      <alignment horizontal="center" vertical="center"/>
    </xf>
    <xf numFmtId="17" fontId="16" fillId="0" borderId="34" xfId="32" applyFont="1" applyFill="1" applyBorder="1" applyAlignment="1" applyProtection="1">
      <alignment horizontal="center" vertical="center"/>
    </xf>
    <xf numFmtId="17" fontId="14" fillId="0" borderId="20" xfId="32" applyFont="1" applyFill="1" applyBorder="1" applyAlignment="1" applyProtection="1">
      <alignment horizontal="center" vertical="center" textRotation="90"/>
    </xf>
    <xf numFmtId="1" fontId="15" fillId="0" borderId="42" xfId="0" applyNumberFormat="1" applyFont="1" applyFill="1" applyBorder="1" applyAlignment="1">
      <alignment horizontal="center" vertical="center"/>
    </xf>
    <xf numFmtId="0" fontId="15" fillId="0" borderId="35" xfId="0" applyFont="1" applyFill="1" applyBorder="1" applyAlignment="1">
      <alignment horizontal="center" vertical="center" wrapText="1"/>
    </xf>
    <xf numFmtId="0" fontId="15" fillId="0" borderId="38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41" xfId="0" applyFont="1" applyFill="1" applyBorder="1" applyAlignment="1">
      <alignment horizontal="center" vertical="center" wrapText="1"/>
    </xf>
    <xf numFmtId="1" fontId="15" fillId="0" borderId="20" xfId="0" applyNumberFormat="1" applyFont="1" applyFill="1" applyBorder="1" applyAlignment="1">
      <alignment horizontal="center" vertical="center"/>
    </xf>
    <xf numFmtId="1" fontId="15" fillId="0" borderId="22" xfId="0" applyNumberFormat="1" applyFont="1" applyFill="1" applyBorder="1" applyAlignment="1">
      <alignment horizontal="center" vertical="center"/>
    </xf>
    <xf numFmtId="17" fontId="16" fillId="0" borderId="35" xfId="32" applyFont="1" applyFill="1" applyBorder="1" applyAlignment="1" applyProtection="1">
      <alignment horizontal="center" vertical="center"/>
    </xf>
    <xf numFmtId="0" fontId="16" fillId="0" borderId="43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6" fillId="0" borderId="44" xfId="0" applyFont="1" applyBorder="1" applyAlignment="1">
      <alignment horizontal="center" wrapText="1"/>
    </xf>
    <xf numFmtId="0" fontId="16" fillId="23" borderId="45" xfId="0" applyFont="1" applyFill="1" applyBorder="1" applyAlignment="1">
      <alignment horizontal="center" vertical="center" wrapText="1"/>
    </xf>
    <xf numFmtId="0" fontId="16" fillId="23" borderId="46" xfId="0" applyFont="1" applyFill="1" applyBorder="1" applyAlignment="1">
      <alignment horizontal="center" vertical="center" wrapText="1"/>
    </xf>
    <xf numFmtId="0" fontId="16" fillId="23" borderId="47" xfId="0" applyFont="1" applyFill="1" applyBorder="1" applyAlignment="1">
      <alignment horizontal="center" vertical="center" wrapText="1"/>
    </xf>
    <xf numFmtId="0" fontId="15" fillId="0" borderId="48" xfId="0" applyFont="1" applyFill="1" applyBorder="1" applyAlignment="1">
      <alignment horizontal="center" vertical="center" wrapText="1"/>
    </xf>
    <xf numFmtId="0" fontId="15" fillId="0" borderId="28" xfId="0" applyFont="1" applyFill="1" applyBorder="1" applyAlignment="1">
      <alignment horizontal="center" vertical="center" wrapText="1"/>
    </xf>
    <xf numFmtId="17" fontId="14" fillId="0" borderId="22" xfId="32" applyFont="1" applyFill="1" applyBorder="1" applyAlignment="1" applyProtection="1">
      <alignment horizontal="center" vertical="center" wrapText="1"/>
    </xf>
    <xf numFmtId="17" fontId="14" fillId="0" borderId="34" xfId="32" applyFont="1" applyFill="1" applyBorder="1" applyAlignment="1" applyProtection="1">
      <alignment horizontal="center" vertical="center" wrapText="1"/>
    </xf>
    <xf numFmtId="17" fontId="14" fillId="0" borderId="49" xfId="32" applyFont="1" applyFill="1" applyBorder="1" applyAlignment="1" applyProtection="1">
      <alignment horizontal="center" vertical="center"/>
    </xf>
    <xf numFmtId="17" fontId="14" fillId="0" borderId="20" xfId="32" applyFont="1" applyFill="1" applyBorder="1" applyAlignment="1" applyProtection="1">
      <alignment horizontal="center" vertical="center"/>
    </xf>
    <xf numFmtId="17" fontId="14" fillId="0" borderId="51" xfId="32" applyFont="1" applyFill="1" applyBorder="1" applyAlignment="1" applyProtection="1">
      <alignment horizontal="center" vertical="center"/>
    </xf>
    <xf numFmtId="17" fontId="14" fillId="0" borderId="21" xfId="32" applyFont="1" applyFill="1" applyBorder="1" applyAlignment="1" applyProtection="1">
      <alignment horizontal="center" vertical="center"/>
    </xf>
    <xf numFmtId="0" fontId="15" fillId="0" borderId="54" xfId="0" applyFont="1" applyFill="1" applyBorder="1" applyAlignment="1">
      <alignment horizontal="center" vertical="center"/>
    </xf>
    <xf numFmtId="0" fontId="15" fillId="0" borderId="55" xfId="0" applyFont="1" applyFill="1" applyBorder="1" applyAlignment="1">
      <alignment horizontal="center" vertical="center"/>
    </xf>
    <xf numFmtId="0" fontId="15" fillId="0" borderId="56" xfId="0" applyFont="1" applyFill="1" applyBorder="1" applyAlignment="1">
      <alignment horizontal="center" vertical="center"/>
    </xf>
    <xf numFmtId="0" fontId="15" fillId="26" borderId="50" xfId="0" applyFont="1" applyFill="1" applyBorder="1" applyAlignment="1">
      <alignment horizontal="center" vertical="center" textRotation="90" wrapText="1"/>
    </xf>
    <xf numFmtId="0" fontId="15" fillId="0" borderId="6" xfId="0" applyFont="1" applyBorder="1" applyAlignment="1">
      <alignment horizontal="center" vertical="center"/>
    </xf>
    <xf numFmtId="17" fontId="15" fillId="24" borderId="5" xfId="32" applyFont="1" applyFill="1" applyBorder="1" applyAlignment="1" applyProtection="1">
      <alignment horizontal="center" vertical="center"/>
    </xf>
    <xf numFmtId="17" fontId="15" fillId="24" borderId="13" xfId="32" applyFont="1" applyFill="1" applyBorder="1" applyAlignment="1" applyProtection="1">
      <alignment horizontal="center" vertical="center"/>
    </xf>
    <xf numFmtId="17" fontId="15" fillId="24" borderId="18" xfId="32" applyFont="1" applyFill="1" applyBorder="1" applyAlignment="1" applyProtection="1">
      <alignment horizontal="center" vertical="center"/>
    </xf>
    <xf numFmtId="17" fontId="15" fillId="24" borderId="19" xfId="32" applyFont="1" applyFill="1" applyBorder="1" applyAlignment="1" applyProtection="1">
      <alignment horizontal="center" vertical="center"/>
    </xf>
    <xf numFmtId="17" fontId="14" fillId="0" borderId="57" xfId="32" applyFont="1" applyFill="1" applyBorder="1" applyAlignment="1" applyProtection="1">
      <alignment horizontal="center" vertical="center" textRotation="90" wrapText="1"/>
    </xf>
    <xf numFmtId="17" fontId="14" fillId="0" borderId="45" xfId="32" applyFont="1" applyFill="1" applyBorder="1" applyAlignment="1" applyProtection="1">
      <alignment horizontal="center" vertical="center" textRotation="90" wrapText="1"/>
    </xf>
    <xf numFmtId="17" fontId="14" fillId="0" borderId="58" xfId="32" applyFont="1" applyFill="1" applyBorder="1" applyAlignment="1" applyProtection="1">
      <alignment horizontal="center" vertical="center" textRotation="90" wrapText="1"/>
    </xf>
    <xf numFmtId="0" fontId="15" fillId="27" borderId="50" xfId="0" applyFont="1" applyFill="1" applyBorder="1" applyAlignment="1">
      <alignment horizontal="center" vertical="center" textRotation="90" wrapText="1"/>
    </xf>
    <xf numFmtId="17" fontId="14" fillId="0" borderId="49" xfId="32" applyFont="1" applyFill="1" applyBorder="1" applyAlignment="1" applyProtection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 wrapText="1"/>
    </xf>
    <xf numFmtId="17" fontId="14" fillId="0" borderId="53" xfId="32" applyFont="1" applyFill="1" applyBorder="1" applyAlignment="1" applyProtection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5" fillId="24" borderId="52" xfId="0" applyFont="1" applyFill="1" applyBorder="1" applyAlignment="1">
      <alignment horizontal="center" vertical="center" textRotation="90" wrapText="1"/>
    </xf>
    <xf numFmtId="0" fontId="15" fillId="24" borderId="50" xfId="0" applyFont="1" applyFill="1" applyBorder="1" applyAlignment="1">
      <alignment horizontal="center" vertical="center" textRotation="90" wrapText="1"/>
    </xf>
  </cellXfs>
  <cellStyles count="38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elda vinculada" xfId="19" builtinId="24" customBuiltin="1"/>
    <cellStyle name="Encabezado 4" xfId="20" builtinId="19" customBuiltin="1"/>
    <cellStyle name="Énfasis1" xfId="21" builtinId="29" customBuiltin="1"/>
    <cellStyle name="Énfasis2" xfId="22" builtinId="33" customBuiltin="1"/>
    <cellStyle name="Énfasis3" xfId="23" builtinId="37" customBuiltin="1"/>
    <cellStyle name="Énfasis4" xfId="24" builtinId="41" customBuiltin="1"/>
    <cellStyle name="Énfasis5" xfId="25" builtinId="45" customBuiltin="1"/>
    <cellStyle name="Énfasis6" xfId="26" builtinId="49" customBuiltin="1"/>
    <cellStyle name="Entrada" xfId="27" builtinId="20" customBuiltin="1"/>
    <cellStyle name="Euro" xfId="28" xr:uid="{00000000-0005-0000-0000-00001B000000}"/>
    <cellStyle name="Incorrecto" xfId="29" builtinId="27" customBuiltin="1"/>
    <cellStyle name="Neutral" xfId="30" builtinId="28" customBuiltin="1"/>
    <cellStyle name="Normal" xfId="0" builtinId="0"/>
    <cellStyle name="Normal 2" xfId="31" xr:uid="{00000000-0005-0000-0000-00001F000000}"/>
    <cellStyle name="Normal 3" xfId="32" xr:uid="{00000000-0005-0000-0000-000020000000}"/>
    <cellStyle name="Porcentaje" xfId="33" builtinId="5"/>
    <cellStyle name="Porcentual 2" xfId="34" xr:uid="{00000000-0005-0000-0000-000022000000}"/>
    <cellStyle name="Salida" xfId="35" builtinId="21" customBuiltin="1"/>
    <cellStyle name="Título" xfId="36" builtinId="15" customBuiltin="1"/>
    <cellStyle name="Total" xfId="37" builtinId="25" customBuiltin="1"/>
  </cellStyles>
  <dxfs count="80"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</a:t>
            </a:r>
          </a:p>
        </c:rich>
      </c:tx>
      <c:layout>
        <c:manualLayout>
          <c:xMode val="edge"/>
          <c:yMode val="edge"/>
          <c:x val="0.1260931067827048"/>
          <c:y val="4.2595776445375516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 Plan de Trabajo SST'!$C$38:$Z$38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SST'!$C$40:$Z$40</c:f>
              <c:numCache>
                <c:formatCode>0%</c:formatCode>
                <c:ptCount val="24"/>
                <c:pt idx="0">
                  <c:v>1</c:v>
                </c:pt>
                <c:pt idx="2">
                  <c:v>1</c:v>
                </c:pt>
                <c:pt idx="4">
                  <c:v>1</c:v>
                </c:pt>
                <c:pt idx="6">
                  <c:v>1</c:v>
                </c:pt>
                <c:pt idx="8">
                  <c:v>1</c:v>
                </c:pt>
                <c:pt idx="10">
                  <c:v>1</c:v>
                </c:pt>
                <c:pt idx="12">
                  <c:v>1</c:v>
                </c:pt>
                <c:pt idx="14">
                  <c:v>1</c:v>
                </c:pt>
                <c:pt idx="16">
                  <c:v>1</c:v>
                </c:pt>
                <c:pt idx="18">
                  <c:v>1</c:v>
                </c:pt>
                <c:pt idx="20">
                  <c:v>0.75</c:v>
                </c:pt>
                <c:pt idx="22">
                  <c:v>0.7142857142857143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B-47D8-9833-D0147C52A659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 Plan de Trabajo SST'!$C$38:$Z$38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SST'!$C$41:$Z$41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B-47D8-9833-D0147C52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2506224"/>
        <c:axId val="1"/>
      </c:lineChart>
      <c:catAx>
        <c:axId val="90250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90250622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026536814477137"/>
          <c:y val="0.50950580718694571"/>
          <c:w val="0.27152327669567622"/>
          <c:h val="0.1749049258750913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SST'!$AD$39</c:f>
              <c:numCache>
                <c:formatCode>0%</c:formatCode>
                <c:ptCount val="1"/>
                <c:pt idx="0">
                  <c:v>0.9464285714285714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6-43BC-B8C6-B4BE5D61FCED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C576-43BC-B8C6-B4BE5D61FCED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SST'!$AD$41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6-43BC-B8C6-B4BE5D61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02500224"/>
        <c:axId val="1"/>
        <c:axId val="0"/>
      </c:bar3DChart>
      <c:catAx>
        <c:axId val="90250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902500224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</a:t>
            </a:r>
          </a:p>
        </c:rich>
      </c:tx>
      <c:layout>
        <c:manualLayout>
          <c:xMode val="edge"/>
          <c:yMode val="edge"/>
          <c:x val="0.1260931067827048"/>
          <c:y val="4.2595776445375516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'Cumpl.Trabajo Anual 1er Semestr'!$C$38:$Z$38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'Cumpl.Trabajo Anual 1er Semestr'!$C$40:$Z$40</c:f>
              <c:numCache>
                <c:formatCode>0%</c:formatCode>
                <c:ptCount val="24"/>
                <c:pt idx="0">
                  <c:v>1</c:v>
                </c:pt>
                <c:pt idx="2">
                  <c:v>1</c:v>
                </c:pt>
                <c:pt idx="4">
                  <c:v>1</c:v>
                </c:pt>
                <c:pt idx="6">
                  <c:v>1</c:v>
                </c:pt>
                <c:pt idx="8">
                  <c:v>1</c:v>
                </c:pt>
                <c:pt idx="10">
                  <c:v>1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2A-4FB5-A3A6-118F20DED4E1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'Cumpl.Trabajo Anual 1er Semestr'!$C$38:$Z$38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'Cumpl.Trabajo Anual 1er Semestr'!$C$41:$Z$41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2A-4FB5-A3A6-118F20DED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2506224"/>
        <c:axId val="1"/>
      </c:lineChart>
      <c:catAx>
        <c:axId val="90250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90250622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026536814477137"/>
          <c:y val="0.50950580718694571"/>
          <c:w val="0.27152327669567622"/>
          <c:h val="0.1749049258750913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7C-4301-8214-52F4CA093099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'Cumpl.Trabajo Anual 1er Semestr'!$AD$39</c:f>
              <c:numCache>
                <c:formatCode>0%</c:formatCode>
                <c:ptCount val="1"/>
                <c:pt idx="0">
                  <c:v>0.5714285714285714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7C-4301-8214-52F4CA093099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6C7C-4301-8214-52F4CA093099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7C-4301-8214-52F4CA093099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'Cumpl.Trabajo Anual 1er Semestr'!$AD$41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7C-4301-8214-52F4CA093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02500224"/>
        <c:axId val="1"/>
        <c:axId val="0"/>
      </c:bar3DChart>
      <c:catAx>
        <c:axId val="90250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902500224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42</xdr:row>
      <xdr:rowOff>0</xdr:rowOff>
    </xdr:from>
    <xdr:to>
      <xdr:col>16</xdr:col>
      <xdr:colOff>209550</xdr:colOff>
      <xdr:row>58</xdr:row>
      <xdr:rowOff>66675</xdr:rowOff>
    </xdr:to>
    <xdr:graphicFrame macro="">
      <xdr:nvGraphicFramePr>
        <xdr:cNvPr id="5198974" name="1 Gráfico">
          <a:extLst>
            <a:ext uri="{FF2B5EF4-FFF2-40B4-BE49-F238E27FC236}">
              <a16:creationId xmlns:a16="http://schemas.microsoft.com/office/drawing/2014/main" id="{15F7505F-5E61-4C80-966E-6BE5B9BB6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42</xdr:row>
      <xdr:rowOff>9525</xdr:rowOff>
    </xdr:from>
    <xdr:to>
      <xdr:col>29</xdr:col>
      <xdr:colOff>1533525</xdr:colOff>
      <xdr:row>58</xdr:row>
      <xdr:rowOff>85725</xdr:rowOff>
    </xdr:to>
    <xdr:graphicFrame macro="">
      <xdr:nvGraphicFramePr>
        <xdr:cNvPr id="5198975" name="4 Gráfico">
          <a:extLst>
            <a:ext uri="{FF2B5EF4-FFF2-40B4-BE49-F238E27FC236}">
              <a16:creationId xmlns:a16="http://schemas.microsoft.com/office/drawing/2014/main" id="{4F3A329A-2487-470C-9DE0-73385EB7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5198976" name="Imagen 2">
          <a:extLst>
            <a:ext uri="{FF2B5EF4-FFF2-40B4-BE49-F238E27FC236}">
              <a16:creationId xmlns:a16="http://schemas.microsoft.com/office/drawing/2014/main" id="{E7ABB08D-8341-4091-B74D-27C8D7166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42</xdr:row>
      <xdr:rowOff>0</xdr:rowOff>
    </xdr:from>
    <xdr:to>
      <xdr:col>16</xdr:col>
      <xdr:colOff>209550</xdr:colOff>
      <xdr:row>58</xdr:row>
      <xdr:rowOff>66675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25ED8FBB-DB76-4E7A-9E5F-2747EE5697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42</xdr:row>
      <xdr:rowOff>9525</xdr:rowOff>
    </xdr:from>
    <xdr:to>
      <xdr:col>29</xdr:col>
      <xdr:colOff>1533525</xdr:colOff>
      <xdr:row>58</xdr:row>
      <xdr:rowOff>85725</xdr:rowOff>
    </xdr:to>
    <xdr:graphicFrame macro="">
      <xdr:nvGraphicFramePr>
        <xdr:cNvPr id="3" name="4 Gráfico">
          <a:extLst>
            <a:ext uri="{FF2B5EF4-FFF2-40B4-BE49-F238E27FC236}">
              <a16:creationId xmlns:a16="http://schemas.microsoft.com/office/drawing/2014/main" id="{87C09E50-B974-43B7-8E13-02A4BC5ED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4C26E81D-B2C1-4251-9249-9B067FA96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249977111117893"/>
    <pageSetUpPr fitToPage="1"/>
  </sheetPr>
  <dimension ref="A1:AF61"/>
  <sheetViews>
    <sheetView showGridLines="0" tabSelected="1" topLeftCell="A22" zoomScaleNormal="100" zoomScaleSheetLayoutView="55" zoomScalePageLayoutView="60" workbookViewId="0">
      <selection activeCell="A61" sqref="A61:B61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5" customWidth="1"/>
    <col min="28" max="28" width="5.7109375" style="5" customWidth="1"/>
    <col min="29" max="29" width="6.42578125" style="5" customWidth="1"/>
    <col min="30" max="30" width="30.28515625" style="1" customWidth="1"/>
    <col min="31" max="16384" width="11.42578125" style="1"/>
  </cols>
  <sheetData>
    <row r="1" spans="1:32" ht="44.25" customHeight="1" thickBot="1" x14ac:dyDescent="0.25">
      <c r="A1" s="106"/>
      <c r="B1" s="106"/>
      <c r="C1" s="34" t="s">
        <v>85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6" t="s">
        <v>86</v>
      </c>
      <c r="AC1" s="36"/>
      <c r="AD1" s="36"/>
    </row>
    <row r="2" spans="1:32" ht="44.25" customHeight="1" thickBot="1" x14ac:dyDescent="0.25">
      <c r="A2" s="106"/>
      <c r="B2" s="106"/>
      <c r="C2" s="35" t="s">
        <v>50</v>
      </c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6" t="s">
        <v>87</v>
      </c>
      <c r="AC2" s="36"/>
      <c r="AD2" s="36"/>
    </row>
    <row r="3" spans="1:32" ht="44.25" customHeight="1" thickBot="1" x14ac:dyDescent="0.25">
      <c r="A3" s="106"/>
      <c r="B3" s="106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6" t="s">
        <v>92</v>
      </c>
      <c r="AC3" s="36"/>
      <c r="AD3" s="36"/>
    </row>
    <row r="4" spans="1:32" ht="17.25" customHeight="1" thickBot="1" x14ac:dyDescent="0.25">
      <c r="A4" s="88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90"/>
      <c r="AF4" s="31"/>
    </row>
    <row r="5" spans="1:32" ht="21" customHeight="1" thickBot="1" x14ac:dyDescent="0.25">
      <c r="A5" s="63" t="s">
        <v>0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5"/>
    </row>
    <row r="6" spans="1:32" ht="85.5" customHeight="1" thickBot="1" x14ac:dyDescent="0.25">
      <c r="A6" s="91" t="s">
        <v>70</v>
      </c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3"/>
    </row>
    <row r="7" spans="1:32" ht="24" customHeight="1" thickBot="1" x14ac:dyDescent="0.25">
      <c r="A7" s="63" t="s">
        <v>5</v>
      </c>
      <c r="B7" s="64"/>
      <c r="C7" s="64"/>
      <c r="D7" s="64"/>
      <c r="E7" s="64"/>
      <c r="F7" s="65"/>
      <c r="G7" s="63" t="s">
        <v>1</v>
      </c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5"/>
      <c r="Y7" s="63" t="s">
        <v>52</v>
      </c>
      <c r="Z7" s="64"/>
      <c r="AA7" s="64"/>
      <c r="AB7" s="64"/>
      <c r="AC7" s="64"/>
      <c r="AD7" s="65"/>
    </row>
    <row r="8" spans="1:32" ht="56.25" customHeight="1" thickBot="1" x14ac:dyDescent="0.25">
      <c r="A8" s="66" t="s">
        <v>40</v>
      </c>
      <c r="B8" s="67"/>
      <c r="C8" s="67"/>
      <c r="D8" s="67"/>
      <c r="E8" s="67"/>
      <c r="F8" s="68"/>
      <c r="G8" s="66" t="s">
        <v>6</v>
      </c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8"/>
      <c r="Y8" s="118" t="s">
        <v>71</v>
      </c>
      <c r="Z8" s="119"/>
      <c r="AA8" s="119"/>
      <c r="AB8" s="119"/>
      <c r="AC8" s="119"/>
      <c r="AD8" s="120"/>
    </row>
    <row r="9" spans="1:32" s="2" customFormat="1" ht="24" customHeight="1" thickBot="1" x14ac:dyDescent="0.25">
      <c r="A9" s="107"/>
      <c r="B9" s="108"/>
      <c r="C9" s="108"/>
      <c r="D9" s="108"/>
      <c r="E9" s="108"/>
      <c r="F9" s="108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10"/>
    </row>
    <row r="10" spans="1:32" ht="18" customHeight="1" x14ac:dyDescent="0.2">
      <c r="A10" s="111" t="s">
        <v>36</v>
      </c>
      <c r="B10" s="115" t="s">
        <v>37</v>
      </c>
      <c r="C10" s="98" t="s">
        <v>53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 t="s">
        <v>8</v>
      </c>
      <c r="AB10" s="98" t="s">
        <v>30</v>
      </c>
      <c r="AC10" s="98"/>
      <c r="AD10" s="100" t="s">
        <v>9</v>
      </c>
    </row>
    <row r="11" spans="1:32" ht="37.5" customHeight="1" x14ac:dyDescent="0.2">
      <c r="A11" s="112"/>
      <c r="B11" s="116"/>
      <c r="C11" s="96" t="s">
        <v>17</v>
      </c>
      <c r="D11" s="97"/>
      <c r="E11" s="96" t="s">
        <v>18</v>
      </c>
      <c r="F11" s="97"/>
      <c r="G11" s="96" t="s">
        <v>19</v>
      </c>
      <c r="H11" s="97"/>
      <c r="I11" s="96" t="s">
        <v>20</v>
      </c>
      <c r="J11" s="97"/>
      <c r="K11" s="96" t="s">
        <v>21</v>
      </c>
      <c r="L11" s="97"/>
      <c r="M11" s="96" t="s">
        <v>22</v>
      </c>
      <c r="N11" s="97"/>
      <c r="O11" s="96" t="s">
        <v>12</v>
      </c>
      <c r="P11" s="97"/>
      <c r="Q11" s="96" t="s">
        <v>13</v>
      </c>
      <c r="R11" s="97"/>
      <c r="S11" s="96" t="s">
        <v>14</v>
      </c>
      <c r="T11" s="97"/>
      <c r="U11" s="96" t="s">
        <v>15</v>
      </c>
      <c r="V11" s="97"/>
      <c r="W11" s="96" t="s">
        <v>16</v>
      </c>
      <c r="X11" s="97"/>
      <c r="Y11" s="96" t="s">
        <v>23</v>
      </c>
      <c r="Z11" s="97"/>
      <c r="AA11" s="99"/>
      <c r="AB11" s="79" t="s">
        <v>34</v>
      </c>
      <c r="AC11" s="79" t="s">
        <v>31</v>
      </c>
      <c r="AD11" s="101"/>
    </row>
    <row r="12" spans="1:32" ht="30" customHeight="1" x14ac:dyDescent="0.2">
      <c r="A12" s="113"/>
      <c r="B12" s="117"/>
      <c r="C12" s="7" t="s">
        <v>2</v>
      </c>
      <c r="D12" s="12" t="s">
        <v>3</v>
      </c>
      <c r="E12" s="7" t="s">
        <v>2</v>
      </c>
      <c r="F12" s="12" t="s">
        <v>3</v>
      </c>
      <c r="G12" s="7" t="s">
        <v>2</v>
      </c>
      <c r="H12" s="12" t="s">
        <v>3</v>
      </c>
      <c r="I12" s="7" t="s">
        <v>2</v>
      </c>
      <c r="J12" s="12" t="s">
        <v>3</v>
      </c>
      <c r="K12" s="7" t="s">
        <v>2</v>
      </c>
      <c r="L12" s="12" t="s">
        <v>3</v>
      </c>
      <c r="M12" s="7" t="s">
        <v>2</v>
      </c>
      <c r="N12" s="12" t="s">
        <v>3</v>
      </c>
      <c r="O12" s="7" t="s">
        <v>2</v>
      </c>
      <c r="P12" s="12" t="s">
        <v>3</v>
      </c>
      <c r="Q12" s="7" t="s">
        <v>2</v>
      </c>
      <c r="R12" s="12" t="s">
        <v>3</v>
      </c>
      <c r="S12" s="7" t="s">
        <v>2</v>
      </c>
      <c r="T12" s="12" t="s">
        <v>3</v>
      </c>
      <c r="U12" s="7" t="s">
        <v>2</v>
      </c>
      <c r="V12" s="12" t="s">
        <v>3</v>
      </c>
      <c r="W12" s="7" t="s">
        <v>2</v>
      </c>
      <c r="X12" s="12" t="s">
        <v>3</v>
      </c>
      <c r="Y12" s="7" t="s">
        <v>2</v>
      </c>
      <c r="Z12" s="12" t="s">
        <v>3</v>
      </c>
      <c r="AA12" s="99"/>
      <c r="AB12" s="79"/>
      <c r="AC12" s="79"/>
      <c r="AD12" s="101"/>
    </row>
    <row r="13" spans="1:32" ht="51.75" customHeight="1" x14ac:dyDescent="0.2">
      <c r="A13" s="121" t="s">
        <v>33</v>
      </c>
      <c r="B13" s="27" t="s">
        <v>74</v>
      </c>
      <c r="C13" s="19">
        <v>1</v>
      </c>
      <c r="D13" s="19">
        <v>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20" t="s">
        <v>94</v>
      </c>
      <c r="AB13" s="6" t="s">
        <v>29</v>
      </c>
      <c r="AC13" s="6"/>
      <c r="AD13" s="8"/>
    </row>
    <row r="14" spans="1:32" ht="78.75" customHeight="1" x14ac:dyDescent="0.2">
      <c r="A14" s="122"/>
      <c r="B14" s="21" t="s">
        <v>72</v>
      </c>
      <c r="C14" s="22"/>
      <c r="D14" s="22"/>
      <c r="E14" s="22"/>
      <c r="F14" s="22"/>
      <c r="G14" s="22">
        <v>1</v>
      </c>
      <c r="H14" s="22">
        <v>1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" t="s">
        <v>95</v>
      </c>
      <c r="AB14" s="6" t="s">
        <v>29</v>
      </c>
      <c r="AC14" s="6" t="s">
        <v>29</v>
      </c>
      <c r="AD14" s="9"/>
      <c r="AE14" s="16"/>
    </row>
    <row r="15" spans="1:32" ht="82.5" customHeight="1" x14ac:dyDescent="0.2">
      <c r="A15" s="122"/>
      <c r="B15" s="21" t="s">
        <v>77</v>
      </c>
      <c r="C15" s="22">
        <v>1</v>
      </c>
      <c r="D15" s="22">
        <v>1</v>
      </c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3" t="s">
        <v>96</v>
      </c>
      <c r="AB15" s="6" t="s">
        <v>29</v>
      </c>
      <c r="AC15" s="6" t="s">
        <v>29</v>
      </c>
      <c r="AD15" s="9"/>
    </row>
    <row r="16" spans="1:32" ht="40.5" customHeight="1" x14ac:dyDescent="0.2">
      <c r="A16" s="122"/>
      <c r="B16" s="21" t="s">
        <v>41</v>
      </c>
      <c r="C16" s="22">
        <v>1</v>
      </c>
      <c r="D16" s="22">
        <v>1</v>
      </c>
      <c r="E16" s="22">
        <v>1</v>
      </c>
      <c r="F16" s="22">
        <v>1</v>
      </c>
      <c r="G16" s="22">
        <v>1</v>
      </c>
      <c r="H16" s="22">
        <v>1</v>
      </c>
      <c r="I16" s="22">
        <v>1</v>
      </c>
      <c r="J16" s="22">
        <v>1</v>
      </c>
      <c r="K16" s="22">
        <v>1</v>
      </c>
      <c r="L16" s="22">
        <v>1</v>
      </c>
      <c r="M16" s="22">
        <v>1</v>
      </c>
      <c r="N16" s="22">
        <v>1</v>
      </c>
      <c r="O16" s="22">
        <v>1</v>
      </c>
      <c r="P16" s="22">
        <v>1</v>
      </c>
      <c r="Q16" s="22">
        <v>1</v>
      </c>
      <c r="R16" s="22">
        <v>1</v>
      </c>
      <c r="S16" s="22">
        <v>1</v>
      </c>
      <c r="T16" s="22">
        <v>1</v>
      </c>
      <c r="U16" s="22">
        <v>1</v>
      </c>
      <c r="V16" s="22">
        <v>1</v>
      </c>
      <c r="W16" s="22">
        <v>1</v>
      </c>
      <c r="X16" s="22">
        <v>1</v>
      </c>
      <c r="Y16" s="22">
        <v>1</v>
      </c>
      <c r="Z16" s="22">
        <v>1</v>
      </c>
      <c r="AA16" s="23" t="s">
        <v>51</v>
      </c>
      <c r="AB16" s="6" t="s">
        <v>29</v>
      </c>
      <c r="AC16" s="6"/>
      <c r="AD16" s="9"/>
    </row>
    <row r="17" spans="1:30" ht="54.75" customHeight="1" x14ac:dyDescent="0.2">
      <c r="A17" s="122"/>
      <c r="B17" s="21" t="s">
        <v>97</v>
      </c>
      <c r="C17" s="22">
        <v>1</v>
      </c>
      <c r="D17" s="22">
        <v>1</v>
      </c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3" t="s">
        <v>51</v>
      </c>
      <c r="AB17" s="6" t="s">
        <v>29</v>
      </c>
      <c r="AC17" s="6"/>
      <c r="AD17" s="8" t="s">
        <v>98</v>
      </c>
    </row>
    <row r="18" spans="1:30" ht="51" customHeight="1" x14ac:dyDescent="0.2">
      <c r="A18" s="122"/>
      <c r="B18" s="21" t="s">
        <v>82</v>
      </c>
      <c r="C18" s="22"/>
      <c r="D18" s="22"/>
      <c r="E18" s="22">
        <v>1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3" t="s">
        <v>51</v>
      </c>
      <c r="AB18" s="6" t="s">
        <v>29</v>
      </c>
      <c r="AC18" s="6"/>
      <c r="AD18" s="8" t="s">
        <v>88</v>
      </c>
    </row>
    <row r="19" spans="1:30" ht="51" customHeight="1" x14ac:dyDescent="0.2">
      <c r="A19" s="122"/>
      <c r="B19" s="21" t="s">
        <v>73</v>
      </c>
      <c r="C19" s="22"/>
      <c r="D19" s="22"/>
      <c r="E19" s="22">
        <v>1</v>
      </c>
      <c r="F19" s="22">
        <v>1</v>
      </c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3" t="s">
        <v>51</v>
      </c>
      <c r="AB19" s="6" t="s">
        <v>29</v>
      </c>
      <c r="AC19" s="6"/>
      <c r="AD19" s="10" t="s">
        <v>78</v>
      </c>
    </row>
    <row r="20" spans="1:30" ht="48.75" customHeight="1" x14ac:dyDescent="0.2">
      <c r="A20" s="122"/>
      <c r="B20" s="21" t="s">
        <v>76</v>
      </c>
      <c r="C20" s="22"/>
      <c r="D20" s="22"/>
      <c r="E20" s="22"/>
      <c r="F20" s="22"/>
      <c r="G20" s="22"/>
      <c r="H20" s="22"/>
      <c r="I20" s="22">
        <v>1</v>
      </c>
      <c r="J20" s="22">
        <v>1</v>
      </c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3" t="s">
        <v>51</v>
      </c>
      <c r="AB20" s="6" t="s">
        <v>29</v>
      </c>
      <c r="AC20" s="6"/>
      <c r="AD20" s="9"/>
    </row>
    <row r="21" spans="1:30" ht="62.25" customHeight="1" x14ac:dyDescent="0.2">
      <c r="A21" s="122"/>
      <c r="B21" s="21" t="s">
        <v>75</v>
      </c>
      <c r="C21" s="22"/>
      <c r="D21" s="22"/>
      <c r="E21" s="22"/>
      <c r="F21" s="22"/>
      <c r="G21" s="22"/>
      <c r="H21" s="22"/>
      <c r="I21" s="22"/>
      <c r="J21" s="22"/>
      <c r="K21" s="22">
        <v>1</v>
      </c>
      <c r="L21" s="22">
        <v>1</v>
      </c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3" t="s">
        <v>51</v>
      </c>
      <c r="AB21" s="6" t="s">
        <v>29</v>
      </c>
      <c r="AC21" s="6"/>
      <c r="AD21" s="9"/>
    </row>
    <row r="22" spans="1:30" ht="57.75" customHeight="1" x14ac:dyDescent="0.2">
      <c r="A22" s="122"/>
      <c r="B22" s="21" t="s">
        <v>42</v>
      </c>
      <c r="C22" s="22"/>
      <c r="D22" s="22"/>
      <c r="E22" s="22"/>
      <c r="F22" s="22"/>
      <c r="G22" s="22">
        <v>1</v>
      </c>
      <c r="H22" s="22">
        <v>1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3" t="s">
        <v>94</v>
      </c>
      <c r="AB22" s="6" t="s">
        <v>29</v>
      </c>
      <c r="AC22" s="6"/>
      <c r="AD22" s="8"/>
    </row>
    <row r="23" spans="1:30" ht="45" customHeight="1" x14ac:dyDescent="0.2">
      <c r="A23" s="122"/>
      <c r="B23" s="21" t="s">
        <v>43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>
        <v>1</v>
      </c>
      <c r="Z23" s="22"/>
      <c r="AA23" s="23" t="s">
        <v>94</v>
      </c>
      <c r="AB23" s="6" t="s">
        <v>29</v>
      </c>
      <c r="AC23" s="6"/>
      <c r="AD23" s="9"/>
    </row>
    <row r="24" spans="1:30" ht="46.5" customHeight="1" x14ac:dyDescent="0.2">
      <c r="A24" s="122"/>
      <c r="B24" s="21" t="s">
        <v>54</v>
      </c>
      <c r="C24" s="22"/>
      <c r="D24" s="22"/>
      <c r="E24" s="22"/>
      <c r="F24" s="22"/>
      <c r="G24" s="22"/>
      <c r="H24" s="22"/>
      <c r="I24" s="22">
        <v>1</v>
      </c>
      <c r="J24" s="22">
        <v>1</v>
      </c>
      <c r="K24" s="22"/>
      <c r="L24" s="22"/>
      <c r="M24" s="22"/>
      <c r="N24" s="22"/>
      <c r="O24" s="22"/>
      <c r="P24" s="22"/>
      <c r="Q24" s="22">
        <v>1</v>
      </c>
      <c r="R24" s="22">
        <v>1</v>
      </c>
      <c r="S24" s="22"/>
      <c r="T24" s="22"/>
      <c r="U24" s="22"/>
      <c r="V24" s="22"/>
      <c r="W24" s="22"/>
      <c r="X24" s="22"/>
      <c r="Y24" s="22">
        <v>1</v>
      </c>
      <c r="Z24" s="22"/>
      <c r="AA24" s="23" t="s">
        <v>94</v>
      </c>
      <c r="AB24" s="6" t="s">
        <v>29</v>
      </c>
      <c r="AC24" s="6"/>
      <c r="AD24" s="9"/>
    </row>
    <row r="25" spans="1:30" ht="68.25" customHeight="1" x14ac:dyDescent="0.2">
      <c r="A25" s="114" t="s">
        <v>27</v>
      </c>
      <c r="B25" s="21" t="s">
        <v>101</v>
      </c>
      <c r="C25" s="22"/>
      <c r="D25" s="22"/>
      <c r="E25" s="22">
        <v>1</v>
      </c>
      <c r="F25" s="22">
        <v>1</v>
      </c>
      <c r="G25" s="22">
        <v>1</v>
      </c>
      <c r="H25" s="22">
        <v>1</v>
      </c>
      <c r="I25" s="22">
        <v>1</v>
      </c>
      <c r="J25" s="22">
        <v>1</v>
      </c>
      <c r="K25" s="22"/>
      <c r="L25" s="22"/>
      <c r="M25" s="22">
        <v>1</v>
      </c>
      <c r="N25" s="22">
        <v>1</v>
      </c>
      <c r="O25" s="22">
        <v>1</v>
      </c>
      <c r="P25" s="22">
        <v>1</v>
      </c>
      <c r="Q25" s="22">
        <v>1</v>
      </c>
      <c r="R25" s="22">
        <v>1</v>
      </c>
      <c r="S25" s="22"/>
      <c r="T25" s="22"/>
      <c r="U25" s="22"/>
      <c r="V25" s="22"/>
      <c r="W25" s="22"/>
      <c r="X25" s="22"/>
      <c r="Y25" s="22"/>
      <c r="Z25" s="22"/>
      <c r="AA25" s="23" t="s">
        <v>99</v>
      </c>
      <c r="AB25" s="6" t="s">
        <v>29</v>
      </c>
      <c r="AC25" s="6" t="s">
        <v>29</v>
      </c>
      <c r="AD25" s="9"/>
    </row>
    <row r="26" spans="1:30" ht="68.25" customHeight="1" x14ac:dyDescent="0.2">
      <c r="A26" s="114"/>
      <c r="B26" s="21" t="s">
        <v>100</v>
      </c>
      <c r="C26" s="22">
        <v>1</v>
      </c>
      <c r="D26" s="22">
        <v>1</v>
      </c>
      <c r="E26" s="22">
        <v>1</v>
      </c>
      <c r="F26" s="22">
        <v>1</v>
      </c>
      <c r="G26" s="22">
        <v>1</v>
      </c>
      <c r="H26" s="22">
        <v>1</v>
      </c>
      <c r="I26" s="22">
        <v>1</v>
      </c>
      <c r="J26" s="22">
        <v>1</v>
      </c>
      <c r="K26" s="22">
        <v>1</v>
      </c>
      <c r="L26" s="22">
        <v>1</v>
      </c>
      <c r="M26" s="22">
        <v>1</v>
      </c>
      <c r="N26" s="22">
        <v>1</v>
      </c>
      <c r="O26" s="22">
        <v>1</v>
      </c>
      <c r="P26" s="22">
        <v>1</v>
      </c>
      <c r="Q26" s="22">
        <v>1</v>
      </c>
      <c r="R26" s="22">
        <v>1</v>
      </c>
      <c r="S26" s="22">
        <v>1</v>
      </c>
      <c r="T26" s="22">
        <v>1</v>
      </c>
      <c r="U26" s="22">
        <v>1</v>
      </c>
      <c r="V26" s="22">
        <v>1</v>
      </c>
      <c r="W26" s="22">
        <v>1</v>
      </c>
      <c r="X26" s="22">
        <v>1</v>
      </c>
      <c r="Y26" s="22">
        <v>1</v>
      </c>
      <c r="Z26" s="22">
        <v>1</v>
      </c>
      <c r="AA26" s="23" t="s">
        <v>94</v>
      </c>
      <c r="AB26" s="6" t="s">
        <v>29</v>
      </c>
      <c r="AC26" s="6"/>
      <c r="AD26" s="8" t="s">
        <v>93</v>
      </c>
    </row>
    <row r="27" spans="1:30" ht="68.25" customHeight="1" x14ac:dyDescent="0.2">
      <c r="A27" s="114"/>
      <c r="B27" s="21" t="s">
        <v>83</v>
      </c>
      <c r="C27" s="22"/>
      <c r="D27" s="22"/>
      <c r="E27" s="22">
        <v>1</v>
      </c>
      <c r="F27" s="22">
        <v>1</v>
      </c>
      <c r="G27" s="22"/>
      <c r="H27" s="22"/>
      <c r="I27" s="22"/>
      <c r="J27" s="22"/>
      <c r="K27" s="22">
        <v>1</v>
      </c>
      <c r="L27" s="22">
        <v>1</v>
      </c>
      <c r="M27" s="22"/>
      <c r="N27" s="22"/>
      <c r="O27" s="22"/>
      <c r="P27" s="22"/>
      <c r="Q27" s="22">
        <v>1</v>
      </c>
      <c r="R27" s="22">
        <v>1</v>
      </c>
      <c r="S27" s="22"/>
      <c r="T27" s="22"/>
      <c r="U27" s="22"/>
      <c r="V27" s="22"/>
      <c r="W27" s="22">
        <v>1</v>
      </c>
      <c r="X27" s="22">
        <v>1</v>
      </c>
      <c r="Y27" s="22"/>
      <c r="Z27" s="22"/>
      <c r="AA27" s="23" t="s">
        <v>84</v>
      </c>
      <c r="AB27" s="6" t="s">
        <v>29</v>
      </c>
      <c r="AC27" s="6"/>
      <c r="AD27" s="8"/>
    </row>
    <row r="28" spans="1:30" ht="68.25" customHeight="1" x14ac:dyDescent="0.2">
      <c r="A28" s="114"/>
      <c r="B28" s="21" t="s">
        <v>79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>
        <v>1</v>
      </c>
      <c r="X28" s="22"/>
      <c r="Y28" s="22"/>
      <c r="Z28" s="22"/>
      <c r="AA28" s="23" t="s">
        <v>38</v>
      </c>
      <c r="AB28" s="6"/>
      <c r="AC28" s="6" t="s">
        <v>29</v>
      </c>
      <c r="AD28" s="8"/>
    </row>
    <row r="29" spans="1:30" ht="88.5" customHeight="1" x14ac:dyDescent="0.2">
      <c r="A29" s="114"/>
      <c r="B29" s="21" t="s">
        <v>44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>
        <v>1</v>
      </c>
      <c r="N29" s="22">
        <v>1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>
        <v>1</v>
      </c>
      <c r="Z29" s="22">
        <v>1</v>
      </c>
      <c r="AA29" s="23" t="s">
        <v>94</v>
      </c>
      <c r="AB29" s="6" t="s">
        <v>29</v>
      </c>
      <c r="AC29" s="6"/>
      <c r="AD29" s="8" t="s">
        <v>102</v>
      </c>
    </row>
    <row r="30" spans="1:30" ht="60" customHeight="1" x14ac:dyDescent="0.2">
      <c r="A30" s="114"/>
      <c r="B30" s="21" t="s">
        <v>45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>
        <v>1</v>
      </c>
      <c r="N30" s="22">
        <v>1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>
        <v>1</v>
      </c>
      <c r="Z30" s="22">
        <v>1</v>
      </c>
      <c r="AA30" s="23" t="s">
        <v>94</v>
      </c>
      <c r="AB30" s="6" t="s">
        <v>29</v>
      </c>
      <c r="AC30" s="6"/>
      <c r="AD30" s="8" t="s">
        <v>102</v>
      </c>
    </row>
    <row r="31" spans="1:30" ht="81.75" customHeight="1" x14ac:dyDescent="0.2">
      <c r="A31" s="105" t="s">
        <v>28</v>
      </c>
      <c r="B31" s="21" t="s">
        <v>35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>
        <v>1</v>
      </c>
      <c r="Z31" s="22">
        <v>1</v>
      </c>
      <c r="AA31" s="23" t="s">
        <v>38</v>
      </c>
      <c r="AB31" s="6" t="s">
        <v>29</v>
      </c>
      <c r="AC31" s="6" t="s">
        <v>29</v>
      </c>
      <c r="AD31" s="9"/>
    </row>
    <row r="32" spans="1:30" ht="52.5" customHeight="1" x14ac:dyDescent="0.2">
      <c r="A32" s="105"/>
      <c r="B32" s="21" t="s">
        <v>46</v>
      </c>
      <c r="C32" s="22">
        <v>1</v>
      </c>
      <c r="D32" s="22">
        <v>1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3" t="s">
        <v>39</v>
      </c>
      <c r="AB32" s="6" t="s">
        <v>29</v>
      </c>
      <c r="AC32" s="6"/>
      <c r="AD32" s="9"/>
    </row>
    <row r="33" spans="1:30" ht="77.25" customHeight="1" x14ac:dyDescent="0.2">
      <c r="A33" s="32" t="s">
        <v>32</v>
      </c>
      <c r="B33" s="21" t="s">
        <v>80</v>
      </c>
      <c r="C33" s="22"/>
      <c r="D33" s="22"/>
      <c r="E33" s="22"/>
      <c r="F33" s="22"/>
      <c r="G33" s="22"/>
      <c r="H33" s="22"/>
      <c r="I33" s="22"/>
      <c r="J33" s="22"/>
      <c r="K33" s="22">
        <v>1</v>
      </c>
      <c r="L33" s="22">
        <v>1</v>
      </c>
      <c r="M33" s="22"/>
      <c r="N33" s="22"/>
      <c r="O33" s="22"/>
      <c r="P33" s="22"/>
      <c r="Q33" s="22"/>
      <c r="R33" s="22"/>
      <c r="S33" s="22">
        <v>1</v>
      </c>
      <c r="T33" s="22">
        <v>1</v>
      </c>
      <c r="U33" s="22"/>
      <c r="V33" s="22"/>
      <c r="W33" s="22"/>
      <c r="X33" s="22"/>
      <c r="Y33" s="22"/>
      <c r="Z33" s="22"/>
      <c r="AA33" s="23" t="s">
        <v>99</v>
      </c>
      <c r="AB33" s="6" t="s">
        <v>29</v>
      </c>
      <c r="AC33" s="6"/>
      <c r="AD33" s="9"/>
    </row>
    <row r="34" spans="1:30" ht="75" customHeight="1" x14ac:dyDescent="0.2">
      <c r="A34" s="94" t="s">
        <v>10</v>
      </c>
      <c r="B34" s="95"/>
      <c r="C34" s="24">
        <f t="shared" ref="C34:Z34" si="0">SUM(C13:C33)</f>
        <v>6</v>
      </c>
      <c r="D34" s="24">
        <f t="shared" si="0"/>
        <v>6</v>
      </c>
      <c r="E34" s="24">
        <f t="shared" si="0"/>
        <v>6</v>
      </c>
      <c r="F34" s="24">
        <f t="shared" si="0"/>
        <v>6</v>
      </c>
      <c r="G34" s="24">
        <f t="shared" si="0"/>
        <v>5</v>
      </c>
      <c r="H34" s="24">
        <f t="shared" si="0"/>
        <v>5</v>
      </c>
      <c r="I34" s="24">
        <f t="shared" si="0"/>
        <v>5</v>
      </c>
      <c r="J34" s="24">
        <f t="shared" si="0"/>
        <v>5</v>
      </c>
      <c r="K34" s="24">
        <f t="shared" si="0"/>
        <v>5</v>
      </c>
      <c r="L34" s="24">
        <f t="shared" si="0"/>
        <v>5</v>
      </c>
      <c r="M34" s="24">
        <f t="shared" si="0"/>
        <v>5</v>
      </c>
      <c r="N34" s="24">
        <f t="shared" si="0"/>
        <v>5</v>
      </c>
      <c r="O34" s="24">
        <f t="shared" si="0"/>
        <v>3</v>
      </c>
      <c r="P34" s="24">
        <f t="shared" si="0"/>
        <v>3</v>
      </c>
      <c r="Q34" s="24">
        <f t="shared" si="0"/>
        <v>5</v>
      </c>
      <c r="R34" s="24">
        <f t="shared" si="0"/>
        <v>5</v>
      </c>
      <c r="S34" s="24">
        <f t="shared" si="0"/>
        <v>3</v>
      </c>
      <c r="T34" s="24">
        <f t="shared" si="0"/>
        <v>3</v>
      </c>
      <c r="U34" s="24">
        <f t="shared" si="0"/>
        <v>2</v>
      </c>
      <c r="V34" s="24">
        <f t="shared" si="0"/>
        <v>2</v>
      </c>
      <c r="W34" s="24">
        <f t="shared" si="0"/>
        <v>4</v>
      </c>
      <c r="X34" s="24">
        <f t="shared" si="0"/>
        <v>3</v>
      </c>
      <c r="Y34" s="25">
        <f t="shared" si="0"/>
        <v>7</v>
      </c>
      <c r="Z34" s="24">
        <f t="shared" si="0"/>
        <v>5</v>
      </c>
      <c r="AA34" s="26"/>
      <c r="AB34" s="6"/>
      <c r="AC34" s="6"/>
      <c r="AD34" s="11"/>
    </row>
    <row r="35" spans="1:30" ht="21" customHeight="1" x14ac:dyDescent="0.2">
      <c r="A35" s="71" t="s">
        <v>7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72"/>
      <c r="AB35" s="3"/>
      <c r="AC35" s="3"/>
      <c r="AD35" s="11"/>
    </row>
    <row r="36" spans="1:30" ht="15" customHeight="1" x14ac:dyDescent="0.2">
      <c r="A36" s="82" t="s">
        <v>55</v>
      </c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4"/>
    </row>
    <row r="37" spans="1:30" s="4" customFormat="1" ht="8.25" customHeight="1" thickBot="1" x14ac:dyDescent="0.25">
      <c r="A37" s="73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5"/>
      <c r="AB37" s="75"/>
      <c r="AC37" s="75"/>
      <c r="AD37" s="76"/>
    </row>
    <row r="38" spans="1:30" ht="24" customHeight="1" x14ac:dyDescent="0.2">
      <c r="A38" s="71" t="s">
        <v>69</v>
      </c>
      <c r="B38" s="72"/>
      <c r="C38" s="77" t="s">
        <v>56</v>
      </c>
      <c r="D38" s="78"/>
      <c r="E38" s="77" t="s">
        <v>57</v>
      </c>
      <c r="F38" s="78"/>
      <c r="G38" s="77" t="s">
        <v>58</v>
      </c>
      <c r="H38" s="78"/>
      <c r="I38" s="77" t="s">
        <v>59</v>
      </c>
      <c r="J38" s="78"/>
      <c r="K38" s="77" t="s">
        <v>60</v>
      </c>
      <c r="L38" s="78"/>
      <c r="M38" s="77" t="s">
        <v>61</v>
      </c>
      <c r="N38" s="78"/>
      <c r="O38" s="77" t="s">
        <v>62</v>
      </c>
      <c r="P38" s="78"/>
      <c r="Q38" s="77" t="s">
        <v>63</v>
      </c>
      <c r="R38" s="78"/>
      <c r="S38" s="77" t="s">
        <v>64</v>
      </c>
      <c r="T38" s="78"/>
      <c r="U38" s="77" t="s">
        <v>65</v>
      </c>
      <c r="V38" s="78"/>
      <c r="W38" s="77" t="s">
        <v>66</v>
      </c>
      <c r="X38" s="78"/>
      <c r="Y38" s="77" t="s">
        <v>67</v>
      </c>
      <c r="Z38" s="87"/>
      <c r="AA38" s="102" t="s">
        <v>4</v>
      </c>
      <c r="AB38" s="103"/>
      <c r="AC38" s="103"/>
      <c r="AD38" s="104"/>
    </row>
    <row r="39" spans="1:30" ht="23.1" customHeight="1" thickBot="1" x14ac:dyDescent="0.25">
      <c r="A39" s="69" t="s">
        <v>11</v>
      </c>
      <c r="B39" s="70"/>
      <c r="C39" s="13">
        <f>SUM(C34)</f>
        <v>6</v>
      </c>
      <c r="D39" s="13">
        <f t="shared" ref="D39:Z39" si="1">D34</f>
        <v>6</v>
      </c>
      <c r="E39" s="13">
        <f t="shared" si="1"/>
        <v>6</v>
      </c>
      <c r="F39" s="13">
        <f t="shared" si="1"/>
        <v>6</v>
      </c>
      <c r="G39" s="13">
        <f t="shared" si="1"/>
        <v>5</v>
      </c>
      <c r="H39" s="13">
        <f t="shared" si="1"/>
        <v>5</v>
      </c>
      <c r="I39" s="13">
        <f t="shared" si="1"/>
        <v>5</v>
      </c>
      <c r="J39" s="13">
        <f t="shared" si="1"/>
        <v>5</v>
      </c>
      <c r="K39" s="13">
        <f t="shared" si="1"/>
        <v>5</v>
      </c>
      <c r="L39" s="13">
        <f t="shared" si="1"/>
        <v>5</v>
      </c>
      <c r="M39" s="13">
        <f t="shared" si="1"/>
        <v>5</v>
      </c>
      <c r="N39" s="13">
        <f t="shared" si="1"/>
        <v>5</v>
      </c>
      <c r="O39" s="13">
        <f t="shared" si="1"/>
        <v>3</v>
      </c>
      <c r="P39" s="13">
        <f t="shared" si="1"/>
        <v>3</v>
      </c>
      <c r="Q39" s="13">
        <f t="shared" si="1"/>
        <v>5</v>
      </c>
      <c r="R39" s="13">
        <f t="shared" si="1"/>
        <v>5</v>
      </c>
      <c r="S39" s="13">
        <f t="shared" si="1"/>
        <v>3</v>
      </c>
      <c r="T39" s="13">
        <f t="shared" si="1"/>
        <v>3</v>
      </c>
      <c r="U39" s="13">
        <f t="shared" si="1"/>
        <v>2</v>
      </c>
      <c r="V39" s="13">
        <f t="shared" si="1"/>
        <v>2</v>
      </c>
      <c r="W39" s="13">
        <f t="shared" si="1"/>
        <v>4</v>
      </c>
      <c r="X39" s="13">
        <f t="shared" si="1"/>
        <v>3</v>
      </c>
      <c r="Y39" s="13">
        <f t="shared" si="1"/>
        <v>7</v>
      </c>
      <c r="Z39" s="14">
        <f t="shared" si="1"/>
        <v>5</v>
      </c>
      <c r="AA39" s="80">
        <f>C39+E39+G39+I39+K39+M39+O39+Q39+S39+U39+W39+Y39</f>
        <v>56</v>
      </c>
      <c r="AB39" s="85">
        <f>D39+F39+H39+J39+L39+N39+P39+R39+T39+V39+X39+Z39</f>
        <v>53</v>
      </c>
      <c r="AC39" s="85"/>
      <c r="AD39" s="28">
        <f>AB39/AA39</f>
        <v>0.9464285714285714</v>
      </c>
    </row>
    <row r="40" spans="1:30" ht="18" customHeight="1" x14ac:dyDescent="0.2">
      <c r="A40" s="69" t="s">
        <v>68</v>
      </c>
      <c r="B40" s="70"/>
      <c r="C40" s="44">
        <f>D39/C39</f>
        <v>1</v>
      </c>
      <c r="D40" s="45"/>
      <c r="E40" s="44">
        <f>F39/E39</f>
        <v>1</v>
      </c>
      <c r="F40" s="45"/>
      <c r="G40" s="44">
        <f>H39/G39</f>
        <v>1</v>
      </c>
      <c r="H40" s="45"/>
      <c r="I40" s="44">
        <f>J39/I39</f>
        <v>1</v>
      </c>
      <c r="J40" s="45"/>
      <c r="K40" s="44">
        <f>L39/K39</f>
        <v>1</v>
      </c>
      <c r="L40" s="45"/>
      <c r="M40" s="44">
        <f>N39/M39</f>
        <v>1</v>
      </c>
      <c r="N40" s="45"/>
      <c r="O40" s="44">
        <f>P39/O39</f>
        <v>1</v>
      </c>
      <c r="P40" s="45"/>
      <c r="Q40" s="44">
        <f>R39/Q39</f>
        <v>1</v>
      </c>
      <c r="R40" s="45"/>
      <c r="S40" s="44">
        <f>T39/S39</f>
        <v>1</v>
      </c>
      <c r="T40" s="45"/>
      <c r="U40" s="44">
        <f>V39/U39</f>
        <v>1</v>
      </c>
      <c r="V40" s="45"/>
      <c r="W40" s="44">
        <f>X39/W39</f>
        <v>0.75</v>
      </c>
      <c r="X40" s="45"/>
      <c r="Y40" s="44">
        <f>Z39/Y39</f>
        <v>0.7142857142857143</v>
      </c>
      <c r="Z40" s="46"/>
      <c r="AA40" s="80"/>
      <c r="AB40" s="85"/>
      <c r="AC40" s="86"/>
      <c r="AD40" s="29" t="s">
        <v>5</v>
      </c>
    </row>
    <row r="41" spans="1:30" ht="23.25" customHeight="1" thickBot="1" x14ac:dyDescent="0.25">
      <c r="A41" s="61" t="s">
        <v>24</v>
      </c>
      <c r="B41" s="62"/>
      <c r="C41" s="50">
        <v>0.9</v>
      </c>
      <c r="D41" s="52"/>
      <c r="E41" s="50">
        <v>0.9</v>
      </c>
      <c r="F41" s="52"/>
      <c r="G41" s="50">
        <v>0.9</v>
      </c>
      <c r="H41" s="52"/>
      <c r="I41" s="50">
        <v>0.9</v>
      </c>
      <c r="J41" s="52"/>
      <c r="K41" s="50">
        <v>0.9</v>
      </c>
      <c r="L41" s="52"/>
      <c r="M41" s="50">
        <v>0.9</v>
      </c>
      <c r="N41" s="52"/>
      <c r="O41" s="50">
        <v>0.9</v>
      </c>
      <c r="P41" s="52"/>
      <c r="Q41" s="50">
        <v>0.9</v>
      </c>
      <c r="R41" s="52"/>
      <c r="S41" s="50">
        <v>0.9</v>
      </c>
      <c r="T41" s="52"/>
      <c r="U41" s="50">
        <v>0.9</v>
      </c>
      <c r="V41" s="52"/>
      <c r="W41" s="50">
        <v>0.9</v>
      </c>
      <c r="X41" s="52"/>
      <c r="Y41" s="50">
        <v>0.9</v>
      </c>
      <c r="Z41" s="51"/>
      <c r="AA41" s="15" t="s">
        <v>25</v>
      </c>
      <c r="AB41" s="48" t="s">
        <v>26</v>
      </c>
      <c r="AC41" s="49"/>
      <c r="AD41" s="30">
        <v>0.9</v>
      </c>
    </row>
    <row r="42" spans="1:30" x14ac:dyDescent="0.2">
      <c r="A42" s="53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5"/>
      <c r="AB42" s="55"/>
      <c r="AC42" s="55"/>
      <c r="AD42" s="56"/>
    </row>
    <row r="43" spans="1:30" x14ac:dyDescent="0.2">
      <c r="A43" s="57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6"/>
    </row>
    <row r="44" spans="1:30" x14ac:dyDescent="0.2">
      <c r="A44" s="57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6"/>
    </row>
    <row r="45" spans="1:30" x14ac:dyDescent="0.2">
      <c r="A45" s="57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6"/>
    </row>
    <row r="46" spans="1:30" x14ac:dyDescent="0.2">
      <c r="A46" s="57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6"/>
    </row>
    <row r="47" spans="1:30" x14ac:dyDescent="0.2">
      <c r="A47" s="57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6"/>
    </row>
    <row r="48" spans="1:30" x14ac:dyDescent="0.2">
      <c r="A48" s="57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6"/>
    </row>
    <row r="49" spans="1:30" x14ac:dyDescent="0.2">
      <c r="A49" s="57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6"/>
    </row>
    <row r="50" spans="1:30" x14ac:dyDescent="0.2">
      <c r="A50" s="57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6"/>
    </row>
    <row r="51" spans="1:30" x14ac:dyDescent="0.2">
      <c r="A51" s="57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6"/>
    </row>
    <row r="52" spans="1:30" x14ac:dyDescent="0.2">
      <c r="A52" s="57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6"/>
    </row>
    <row r="53" spans="1:30" x14ac:dyDescent="0.2">
      <c r="A53" s="57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6"/>
    </row>
    <row r="54" spans="1:30" x14ac:dyDescent="0.2">
      <c r="A54" s="57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6"/>
    </row>
    <row r="55" spans="1:30" x14ac:dyDescent="0.2">
      <c r="A55" s="57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6"/>
    </row>
    <row r="56" spans="1:30" x14ac:dyDescent="0.2">
      <c r="A56" s="57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6"/>
    </row>
    <row r="57" spans="1:30" x14ac:dyDescent="0.2">
      <c r="A57" s="57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6"/>
    </row>
    <row r="58" spans="1:30" x14ac:dyDescent="0.2">
      <c r="A58" s="57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6"/>
    </row>
    <row r="59" spans="1:30" ht="11.25" customHeight="1" thickBot="1" x14ac:dyDescent="0.25">
      <c r="A59" s="58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60"/>
    </row>
    <row r="60" spans="1:30" s="18" customFormat="1" ht="26.25" customHeight="1" x14ac:dyDescent="0.2">
      <c r="A60" s="47" t="s">
        <v>81</v>
      </c>
      <c r="B60" s="39"/>
      <c r="C60" s="39" t="s">
        <v>47</v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 t="s">
        <v>48</v>
      </c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 t="s">
        <v>49</v>
      </c>
      <c r="AB60" s="39"/>
      <c r="AC60" s="39"/>
      <c r="AD60" s="40"/>
    </row>
    <row r="61" spans="1:30" s="17" customFormat="1" ht="121.5" customHeight="1" thickBot="1" x14ac:dyDescent="0.3">
      <c r="A61" s="37" t="s">
        <v>103</v>
      </c>
      <c r="B61" s="38"/>
      <c r="C61" s="41" t="s">
        <v>90</v>
      </c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1" t="s">
        <v>89</v>
      </c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1" t="s">
        <v>91</v>
      </c>
      <c r="AB61" s="42"/>
      <c r="AC61" s="42"/>
      <c r="AD61" s="43"/>
    </row>
  </sheetData>
  <mergeCells count="96">
    <mergeCell ref="A31:A32"/>
    <mergeCell ref="A1:B3"/>
    <mergeCell ref="A9:AD9"/>
    <mergeCell ref="A10:A12"/>
    <mergeCell ref="AB11:AB12"/>
    <mergeCell ref="A25:A30"/>
    <mergeCell ref="C11:D11"/>
    <mergeCell ref="B10:B12"/>
    <mergeCell ref="Y8:AD8"/>
    <mergeCell ref="S11:T11"/>
    <mergeCell ref="I11:J11"/>
    <mergeCell ref="A13:A24"/>
    <mergeCell ref="C10:Z10"/>
    <mergeCell ref="U11:V11"/>
    <mergeCell ref="Y11:Z11"/>
    <mergeCell ref="E11:F11"/>
    <mergeCell ref="K11:L11"/>
    <mergeCell ref="M11:N11"/>
    <mergeCell ref="AA38:AD38"/>
    <mergeCell ref="E38:F38"/>
    <mergeCell ref="C38:D38"/>
    <mergeCell ref="AB39:AC40"/>
    <mergeCell ref="W38:X38"/>
    <mergeCell ref="Y38:Z38"/>
    <mergeCell ref="A4:AD4"/>
    <mergeCell ref="A5:AD5"/>
    <mergeCell ref="A6:AD6"/>
    <mergeCell ref="A34:B34"/>
    <mergeCell ref="Q11:R11"/>
    <mergeCell ref="AA10:AA12"/>
    <mergeCell ref="Y7:AD7"/>
    <mergeCell ref="AB10:AC10"/>
    <mergeCell ref="AD10:AD12"/>
    <mergeCell ref="O11:P11"/>
    <mergeCell ref="G11:H11"/>
    <mergeCell ref="W11:X11"/>
    <mergeCell ref="C41:D41"/>
    <mergeCell ref="U40:V40"/>
    <mergeCell ref="AC11:AC12"/>
    <mergeCell ref="G38:H38"/>
    <mergeCell ref="I38:J38"/>
    <mergeCell ref="K38:L38"/>
    <mergeCell ref="M38:N38"/>
    <mergeCell ref="O38:P38"/>
    <mergeCell ref="Q38:R38"/>
    <mergeCell ref="AA39:AA40"/>
    <mergeCell ref="K40:L40"/>
    <mergeCell ref="M40:N40"/>
    <mergeCell ref="Q41:R41"/>
    <mergeCell ref="S41:T41"/>
    <mergeCell ref="A35:AA35"/>
    <mergeCell ref="A36:AD36"/>
    <mergeCell ref="G7:X7"/>
    <mergeCell ref="G8:X8"/>
    <mergeCell ref="A7:F7"/>
    <mergeCell ref="A8:F8"/>
    <mergeCell ref="Q40:R40"/>
    <mergeCell ref="C40:D40"/>
    <mergeCell ref="E40:F40"/>
    <mergeCell ref="G40:H40"/>
    <mergeCell ref="I40:J40"/>
    <mergeCell ref="O40:P40"/>
    <mergeCell ref="A39:B39"/>
    <mergeCell ref="A38:B38"/>
    <mergeCell ref="A40:B40"/>
    <mergeCell ref="A37:AD37"/>
    <mergeCell ref="S38:T38"/>
    <mergeCell ref="U38:V38"/>
    <mergeCell ref="W40:X40"/>
    <mergeCell ref="Y40:Z40"/>
    <mergeCell ref="S40:T40"/>
    <mergeCell ref="A60:B60"/>
    <mergeCell ref="AB41:AC41"/>
    <mergeCell ref="Y41:Z41"/>
    <mergeCell ref="E41:F41"/>
    <mergeCell ref="G41:H41"/>
    <mergeCell ref="O41:P41"/>
    <mergeCell ref="U41:V41"/>
    <mergeCell ref="W41:X41"/>
    <mergeCell ref="I41:J41"/>
    <mergeCell ref="K41:L41"/>
    <mergeCell ref="M41:N41"/>
    <mergeCell ref="A42:AD59"/>
    <mergeCell ref="A41:B41"/>
    <mergeCell ref="A61:B61"/>
    <mergeCell ref="AA60:AD60"/>
    <mergeCell ref="O60:Z60"/>
    <mergeCell ref="C60:N60"/>
    <mergeCell ref="C61:N61"/>
    <mergeCell ref="O61:Z61"/>
    <mergeCell ref="AA61:AD61"/>
    <mergeCell ref="C1:AA1"/>
    <mergeCell ref="C2:AA3"/>
    <mergeCell ref="AB1:AD1"/>
    <mergeCell ref="AB2:AD2"/>
    <mergeCell ref="AB3:AD3"/>
  </mergeCells>
  <conditionalFormatting sqref="C40:C41 E40:E41 G40:G41 K40:K41 O40:O41 S40:S41 W40:W41 I40:I41 M40:M41 Q40:Q41 U40:U41 Y40:Y41 AB13:AC16 AB18:AC18 AB20:AC25 AB28:AC34 C13:Z34">
    <cfRule type="cellIs" dxfId="79" priority="387" operator="between">
      <formula>1</formula>
      <formula>9</formula>
    </cfRule>
    <cfRule type="cellIs" dxfId="78" priority="388" stopIfTrue="1" operator="equal">
      <formula>0</formula>
    </cfRule>
    <cfRule type="cellIs" dxfId="77" priority="389" stopIfTrue="1" operator="equal">
      <formula>0</formula>
    </cfRule>
    <cfRule type="cellIs" dxfId="76" priority="390" stopIfTrue="1" operator="equal">
      <formula>0</formula>
    </cfRule>
    <cfRule type="cellIs" dxfId="75" priority="391" stopIfTrue="1" operator="equal">
      <formula>0</formula>
    </cfRule>
    <cfRule type="cellIs" dxfId="74" priority="392" stopIfTrue="1" operator="equal">
      <formula>1</formula>
    </cfRule>
  </conditionalFormatting>
  <conditionalFormatting sqref="C40:C41 E40:E41 G40:G41 K40:K41 O40:O41 S40:S41 W40:W41 I40:I41 M40:M41 Q40:Q41 U40:U41 Y40:Y41 AB13:AC16 AB18:AC18 AB20:AC25 AB28:AC34 C13:Z34">
    <cfRule type="cellIs" dxfId="73" priority="386" operator="equal">
      <formula>0</formula>
    </cfRule>
  </conditionalFormatting>
  <conditionalFormatting sqref="C40:C41 E40:E41 G40:G41 K40:K41 O40:O41 S40:S41 W40:W41 I40:I41 M40:M41 Q40:Q41 U40:U41 Y40:Y41 AB13:AC16 AB18:AC18 AB20:AC25 AB28:AC34 C13:Z34">
    <cfRule type="cellIs" dxfId="72" priority="385" stopIfTrue="1" operator="equal">
      <formula>0</formula>
    </cfRule>
  </conditionalFormatting>
  <conditionalFormatting sqref="AB17:AC17">
    <cfRule type="cellIs" dxfId="71" priority="27" operator="between">
      <formula>1</formula>
      <formula>9</formula>
    </cfRule>
    <cfRule type="cellIs" dxfId="70" priority="28" stopIfTrue="1" operator="equal">
      <formula>0</formula>
    </cfRule>
    <cfRule type="cellIs" dxfId="69" priority="29" stopIfTrue="1" operator="equal">
      <formula>0</formula>
    </cfRule>
    <cfRule type="cellIs" dxfId="68" priority="30" stopIfTrue="1" operator="equal">
      <formula>0</formula>
    </cfRule>
    <cfRule type="cellIs" dxfId="67" priority="31" stopIfTrue="1" operator="equal">
      <formula>0</formula>
    </cfRule>
    <cfRule type="cellIs" dxfId="66" priority="32" stopIfTrue="1" operator="equal">
      <formula>1</formula>
    </cfRule>
  </conditionalFormatting>
  <conditionalFormatting sqref="AB17:AC17">
    <cfRule type="cellIs" dxfId="65" priority="26" operator="equal">
      <formula>0</formula>
    </cfRule>
  </conditionalFormatting>
  <conditionalFormatting sqref="AB17:AC17">
    <cfRule type="cellIs" dxfId="64" priority="25" stopIfTrue="1" operator="equal">
      <formula>0</formula>
    </cfRule>
  </conditionalFormatting>
  <conditionalFormatting sqref="AB19:AC19">
    <cfRule type="cellIs" dxfId="63" priority="19" operator="between">
      <formula>1</formula>
      <formula>9</formula>
    </cfRule>
    <cfRule type="cellIs" dxfId="62" priority="20" stopIfTrue="1" operator="equal">
      <formula>0</formula>
    </cfRule>
    <cfRule type="cellIs" dxfId="61" priority="21" stopIfTrue="1" operator="equal">
      <formula>0</formula>
    </cfRule>
    <cfRule type="cellIs" dxfId="60" priority="22" stopIfTrue="1" operator="equal">
      <formula>0</formula>
    </cfRule>
    <cfRule type="cellIs" dxfId="59" priority="23" stopIfTrue="1" operator="equal">
      <formula>0</formula>
    </cfRule>
    <cfRule type="cellIs" dxfId="58" priority="24" stopIfTrue="1" operator="equal">
      <formula>1</formula>
    </cfRule>
  </conditionalFormatting>
  <conditionalFormatting sqref="AB19:AC19">
    <cfRule type="cellIs" dxfId="57" priority="18" operator="equal">
      <formula>0</formula>
    </cfRule>
  </conditionalFormatting>
  <conditionalFormatting sqref="AB19:AC19">
    <cfRule type="cellIs" dxfId="56" priority="17" stopIfTrue="1" operator="equal">
      <formula>0</formula>
    </cfRule>
  </conditionalFormatting>
  <conditionalFormatting sqref="AB26:AC26">
    <cfRule type="cellIs" dxfId="55" priority="11" operator="between">
      <formula>1</formula>
      <formula>9</formula>
    </cfRule>
    <cfRule type="cellIs" dxfId="54" priority="12" stopIfTrue="1" operator="equal">
      <formula>0</formula>
    </cfRule>
    <cfRule type="cellIs" dxfId="53" priority="13" stopIfTrue="1" operator="equal">
      <formula>0</formula>
    </cfRule>
    <cfRule type="cellIs" dxfId="52" priority="14" stopIfTrue="1" operator="equal">
      <formula>0</formula>
    </cfRule>
    <cfRule type="cellIs" dxfId="51" priority="15" stopIfTrue="1" operator="equal">
      <formula>0</formula>
    </cfRule>
    <cfRule type="cellIs" dxfId="50" priority="16" stopIfTrue="1" operator="equal">
      <formula>1</formula>
    </cfRule>
  </conditionalFormatting>
  <conditionalFormatting sqref="AB26:AC26">
    <cfRule type="cellIs" dxfId="49" priority="10" operator="equal">
      <formula>0</formula>
    </cfRule>
  </conditionalFormatting>
  <conditionalFormatting sqref="AB26:AC26">
    <cfRule type="cellIs" dxfId="48" priority="9" stopIfTrue="1" operator="equal">
      <formula>0</formula>
    </cfRule>
  </conditionalFormatting>
  <conditionalFormatting sqref="AB27:AC27">
    <cfRule type="cellIs" dxfId="47" priority="3" operator="between">
      <formula>1</formula>
      <formula>9</formula>
    </cfRule>
    <cfRule type="cellIs" dxfId="46" priority="4" stopIfTrue="1" operator="equal">
      <formula>0</formula>
    </cfRule>
    <cfRule type="cellIs" dxfId="45" priority="5" stopIfTrue="1" operator="equal">
      <formula>0</formula>
    </cfRule>
    <cfRule type="cellIs" dxfId="44" priority="6" stopIfTrue="1" operator="equal">
      <formula>0</formula>
    </cfRule>
    <cfRule type="cellIs" dxfId="43" priority="7" stopIfTrue="1" operator="equal">
      <formula>0</formula>
    </cfRule>
    <cfRule type="cellIs" dxfId="42" priority="8" stopIfTrue="1" operator="equal">
      <formula>1</formula>
    </cfRule>
  </conditionalFormatting>
  <conditionalFormatting sqref="AB27:AC27">
    <cfRule type="cellIs" dxfId="41" priority="2" operator="equal">
      <formula>0</formula>
    </cfRule>
  </conditionalFormatting>
  <conditionalFormatting sqref="AB27:AC27">
    <cfRule type="cellIs" dxfId="40" priority="1" stopIfTrue="1" operator="equal">
      <formula>0</formula>
    </cfRule>
  </conditionalFormatting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rowBreaks count="1" manualBreakCount="1">
    <brk id="28" max="29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06C8-0C25-426B-BF33-001CBA0367E1}">
  <sheetPr codeName="Hoja3">
    <tabColor theme="4" tint="-0.249977111117893"/>
    <pageSetUpPr fitToPage="1"/>
  </sheetPr>
  <dimension ref="A1:AF59"/>
  <sheetViews>
    <sheetView showGridLines="0" topLeftCell="B34" zoomScaleNormal="100" zoomScaleSheetLayoutView="55" zoomScalePageLayoutView="60" workbookViewId="0">
      <selection activeCell="AA38" sqref="AA38:AD41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5" customWidth="1"/>
    <col min="28" max="28" width="5.7109375" style="5" customWidth="1"/>
    <col min="29" max="29" width="6.42578125" style="5" customWidth="1"/>
    <col min="30" max="30" width="30.28515625" style="1" customWidth="1"/>
    <col min="31" max="16384" width="11.42578125" style="1"/>
  </cols>
  <sheetData>
    <row r="1" spans="1:32" ht="44.25" customHeight="1" thickBot="1" x14ac:dyDescent="0.25">
      <c r="A1" s="106"/>
      <c r="B1" s="106"/>
      <c r="C1" s="34" t="s">
        <v>85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6" t="s">
        <v>86</v>
      </c>
      <c r="AC1" s="36"/>
      <c r="AD1" s="36"/>
    </row>
    <row r="2" spans="1:32" ht="44.25" customHeight="1" thickBot="1" x14ac:dyDescent="0.25">
      <c r="A2" s="106"/>
      <c r="B2" s="106"/>
      <c r="C2" s="35" t="s">
        <v>50</v>
      </c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6" t="s">
        <v>87</v>
      </c>
      <c r="AC2" s="36"/>
      <c r="AD2" s="36"/>
    </row>
    <row r="3" spans="1:32" ht="44.25" customHeight="1" thickBot="1" x14ac:dyDescent="0.25">
      <c r="A3" s="106"/>
      <c r="B3" s="106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6" t="s">
        <v>92</v>
      </c>
      <c r="AC3" s="36"/>
      <c r="AD3" s="36"/>
    </row>
    <row r="4" spans="1:32" ht="17.25" customHeight="1" thickBot="1" x14ac:dyDescent="0.25">
      <c r="A4" s="88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90"/>
      <c r="AF4" s="31"/>
    </row>
    <row r="5" spans="1:32" ht="21" customHeight="1" thickBot="1" x14ac:dyDescent="0.25">
      <c r="A5" s="63" t="s">
        <v>0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5"/>
    </row>
    <row r="6" spans="1:32" ht="85.5" customHeight="1" thickBot="1" x14ac:dyDescent="0.25">
      <c r="A6" s="91" t="s">
        <v>70</v>
      </c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3"/>
    </row>
    <row r="7" spans="1:32" ht="24" customHeight="1" thickBot="1" x14ac:dyDescent="0.25">
      <c r="A7" s="63" t="s">
        <v>5</v>
      </c>
      <c r="B7" s="64"/>
      <c r="C7" s="64"/>
      <c r="D7" s="64"/>
      <c r="E7" s="64"/>
      <c r="F7" s="65"/>
      <c r="G7" s="63" t="s">
        <v>1</v>
      </c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5"/>
      <c r="Y7" s="63" t="s">
        <v>52</v>
      </c>
      <c r="Z7" s="64"/>
      <c r="AA7" s="64"/>
      <c r="AB7" s="64"/>
      <c r="AC7" s="64"/>
      <c r="AD7" s="65"/>
    </row>
    <row r="8" spans="1:32" ht="56.25" customHeight="1" thickBot="1" x14ac:dyDescent="0.25">
      <c r="A8" s="66" t="s">
        <v>40</v>
      </c>
      <c r="B8" s="67"/>
      <c r="C8" s="67"/>
      <c r="D8" s="67"/>
      <c r="E8" s="67"/>
      <c r="F8" s="68"/>
      <c r="G8" s="66" t="s">
        <v>6</v>
      </c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8"/>
      <c r="Y8" s="118" t="s">
        <v>71</v>
      </c>
      <c r="Z8" s="119"/>
      <c r="AA8" s="119"/>
      <c r="AB8" s="119"/>
      <c r="AC8" s="119"/>
      <c r="AD8" s="120"/>
    </row>
    <row r="9" spans="1:32" s="2" customFormat="1" ht="24" customHeight="1" thickBot="1" x14ac:dyDescent="0.25">
      <c r="A9" s="107"/>
      <c r="B9" s="108"/>
      <c r="C9" s="108"/>
      <c r="D9" s="108"/>
      <c r="E9" s="108"/>
      <c r="F9" s="108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10"/>
    </row>
    <row r="10" spans="1:32" ht="18" customHeight="1" x14ac:dyDescent="0.2">
      <c r="A10" s="111" t="s">
        <v>36</v>
      </c>
      <c r="B10" s="115" t="s">
        <v>37</v>
      </c>
      <c r="C10" s="98" t="s">
        <v>53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 t="s">
        <v>8</v>
      </c>
      <c r="AB10" s="98" t="s">
        <v>30</v>
      </c>
      <c r="AC10" s="98"/>
      <c r="AD10" s="100" t="s">
        <v>9</v>
      </c>
    </row>
    <row r="11" spans="1:32" ht="37.5" customHeight="1" x14ac:dyDescent="0.2">
      <c r="A11" s="112"/>
      <c r="B11" s="116"/>
      <c r="C11" s="96" t="s">
        <v>17</v>
      </c>
      <c r="D11" s="97"/>
      <c r="E11" s="96" t="s">
        <v>18</v>
      </c>
      <c r="F11" s="97"/>
      <c r="G11" s="96" t="s">
        <v>19</v>
      </c>
      <c r="H11" s="97"/>
      <c r="I11" s="96" t="s">
        <v>20</v>
      </c>
      <c r="J11" s="97"/>
      <c r="K11" s="96" t="s">
        <v>21</v>
      </c>
      <c r="L11" s="97"/>
      <c r="M11" s="96" t="s">
        <v>22</v>
      </c>
      <c r="N11" s="97"/>
      <c r="O11" s="96" t="s">
        <v>12</v>
      </c>
      <c r="P11" s="97"/>
      <c r="Q11" s="96" t="s">
        <v>13</v>
      </c>
      <c r="R11" s="97"/>
      <c r="S11" s="96" t="s">
        <v>14</v>
      </c>
      <c r="T11" s="97"/>
      <c r="U11" s="96" t="s">
        <v>15</v>
      </c>
      <c r="V11" s="97"/>
      <c r="W11" s="96" t="s">
        <v>16</v>
      </c>
      <c r="X11" s="97"/>
      <c r="Y11" s="96" t="s">
        <v>23</v>
      </c>
      <c r="Z11" s="97"/>
      <c r="AA11" s="99"/>
      <c r="AB11" s="79" t="s">
        <v>34</v>
      </c>
      <c r="AC11" s="79" t="s">
        <v>31</v>
      </c>
      <c r="AD11" s="101"/>
    </row>
    <row r="12" spans="1:32" ht="30" customHeight="1" x14ac:dyDescent="0.2">
      <c r="A12" s="113"/>
      <c r="B12" s="117"/>
      <c r="C12" s="7" t="s">
        <v>2</v>
      </c>
      <c r="D12" s="33" t="s">
        <v>3</v>
      </c>
      <c r="E12" s="7" t="s">
        <v>2</v>
      </c>
      <c r="F12" s="33" t="s">
        <v>3</v>
      </c>
      <c r="G12" s="7" t="s">
        <v>2</v>
      </c>
      <c r="H12" s="33" t="s">
        <v>3</v>
      </c>
      <c r="I12" s="7" t="s">
        <v>2</v>
      </c>
      <c r="J12" s="33" t="s">
        <v>3</v>
      </c>
      <c r="K12" s="7" t="s">
        <v>2</v>
      </c>
      <c r="L12" s="33" t="s">
        <v>3</v>
      </c>
      <c r="M12" s="7" t="s">
        <v>2</v>
      </c>
      <c r="N12" s="33" t="s">
        <v>3</v>
      </c>
      <c r="O12" s="7" t="s">
        <v>2</v>
      </c>
      <c r="P12" s="33" t="s">
        <v>3</v>
      </c>
      <c r="Q12" s="7" t="s">
        <v>2</v>
      </c>
      <c r="R12" s="33" t="s">
        <v>3</v>
      </c>
      <c r="S12" s="7" t="s">
        <v>2</v>
      </c>
      <c r="T12" s="33" t="s">
        <v>3</v>
      </c>
      <c r="U12" s="7" t="s">
        <v>2</v>
      </c>
      <c r="V12" s="33" t="s">
        <v>3</v>
      </c>
      <c r="W12" s="7" t="s">
        <v>2</v>
      </c>
      <c r="X12" s="33" t="s">
        <v>3</v>
      </c>
      <c r="Y12" s="7" t="s">
        <v>2</v>
      </c>
      <c r="Z12" s="33" t="s">
        <v>3</v>
      </c>
      <c r="AA12" s="99"/>
      <c r="AB12" s="79"/>
      <c r="AC12" s="79"/>
      <c r="AD12" s="101"/>
    </row>
    <row r="13" spans="1:32" ht="51.75" customHeight="1" x14ac:dyDescent="0.2">
      <c r="A13" s="121" t="s">
        <v>33</v>
      </c>
      <c r="B13" s="27" t="s">
        <v>74</v>
      </c>
      <c r="C13" s="19">
        <v>1</v>
      </c>
      <c r="D13" s="19">
        <v>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20" t="s">
        <v>94</v>
      </c>
      <c r="AB13" s="6" t="s">
        <v>29</v>
      </c>
      <c r="AC13" s="6"/>
      <c r="AD13" s="8"/>
    </row>
    <row r="14" spans="1:32" ht="78.75" customHeight="1" x14ac:dyDescent="0.2">
      <c r="A14" s="122"/>
      <c r="B14" s="21" t="s">
        <v>72</v>
      </c>
      <c r="C14" s="22"/>
      <c r="D14" s="22"/>
      <c r="E14" s="22"/>
      <c r="F14" s="22"/>
      <c r="G14" s="22">
        <v>1</v>
      </c>
      <c r="H14" s="22">
        <v>1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" t="s">
        <v>95</v>
      </c>
      <c r="AB14" s="6" t="s">
        <v>29</v>
      </c>
      <c r="AC14" s="6" t="s">
        <v>29</v>
      </c>
      <c r="AD14" s="9"/>
      <c r="AE14" s="16"/>
    </row>
    <row r="15" spans="1:32" ht="82.5" customHeight="1" x14ac:dyDescent="0.2">
      <c r="A15" s="122"/>
      <c r="B15" s="21" t="s">
        <v>77</v>
      </c>
      <c r="C15" s="22">
        <v>1</v>
      </c>
      <c r="D15" s="22">
        <v>1</v>
      </c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3" t="s">
        <v>96</v>
      </c>
      <c r="AB15" s="6" t="s">
        <v>29</v>
      </c>
      <c r="AC15" s="6" t="s">
        <v>29</v>
      </c>
      <c r="AD15" s="9"/>
    </row>
    <row r="16" spans="1:32" ht="40.5" customHeight="1" x14ac:dyDescent="0.2">
      <c r="A16" s="122"/>
      <c r="B16" s="21" t="s">
        <v>41</v>
      </c>
      <c r="C16" s="22">
        <v>1</v>
      </c>
      <c r="D16" s="22">
        <v>1</v>
      </c>
      <c r="E16" s="22">
        <v>1</v>
      </c>
      <c r="F16" s="22">
        <v>1</v>
      </c>
      <c r="G16" s="22">
        <v>1</v>
      </c>
      <c r="H16" s="22">
        <v>1</v>
      </c>
      <c r="I16" s="22">
        <v>1</v>
      </c>
      <c r="J16" s="22">
        <v>1</v>
      </c>
      <c r="K16" s="22">
        <v>1</v>
      </c>
      <c r="L16" s="22">
        <v>1</v>
      </c>
      <c r="M16" s="22">
        <v>1</v>
      </c>
      <c r="N16" s="22">
        <v>1</v>
      </c>
      <c r="O16" s="22">
        <v>1</v>
      </c>
      <c r="P16" s="22"/>
      <c r="Q16" s="22">
        <v>1</v>
      </c>
      <c r="R16" s="22"/>
      <c r="S16" s="22">
        <v>1</v>
      </c>
      <c r="T16" s="22"/>
      <c r="U16" s="22">
        <v>1</v>
      </c>
      <c r="V16" s="22"/>
      <c r="W16" s="22">
        <v>1</v>
      </c>
      <c r="X16" s="22"/>
      <c r="Y16" s="22">
        <v>1</v>
      </c>
      <c r="Z16" s="22"/>
      <c r="AA16" s="23" t="s">
        <v>51</v>
      </c>
      <c r="AB16" s="6" t="s">
        <v>29</v>
      </c>
      <c r="AC16" s="6"/>
      <c r="AD16" s="9"/>
    </row>
    <row r="17" spans="1:30" ht="54.75" customHeight="1" x14ac:dyDescent="0.2">
      <c r="A17" s="122"/>
      <c r="B17" s="21" t="s">
        <v>97</v>
      </c>
      <c r="C17" s="22">
        <v>1</v>
      </c>
      <c r="D17" s="22">
        <v>1</v>
      </c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3" t="s">
        <v>51</v>
      </c>
      <c r="AB17" s="6" t="s">
        <v>29</v>
      </c>
      <c r="AC17" s="6"/>
      <c r="AD17" s="8" t="s">
        <v>98</v>
      </c>
    </row>
    <row r="18" spans="1:30" ht="51" customHeight="1" x14ac:dyDescent="0.2">
      <c r="A18" s="122"/>
      <c r="B18" s="21" t="s">
        <v>82</v>
      </c>
      <c r="C18" s="22"/>
      <c r="D18" s="22"/>
      <c r="E18" s="22">
        <v>1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3" t="s">
        <v>51</v>
      </c>
      <c r="AB18" s="6" t="s">
        <v>29</v>
      </c>
      <c r="AC18" s="6"/>
      <c r="AD18" s="8" t="s">
        <v>88</v>
      </c>
    </row>
    <row r="19" spans="1:30" ht="51" customHeight="1" x14ac:dyDescent="0.2">
      <c r="A19" s="122"/>
      <c r="B19" s="21" t="s">
        <v>73</v>
      </c>
      <c r="C19" s="22"/>
      <c r="D19" s="22"/>
      <c r="E19" s="22">
        <v>1</v>
      </c>
      <c r="F19" s="22">
        <v>1</v>
      </c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3" t="s">
        <v>51</v>
      </c>
      <c r="AB19" s="6" t="s">
        <v>29</v>
      </c>
      <c r="AC19" s="6"/>
      <c r="AD19" s="10" t="s">
        <v>78</v>
      </c>
    </row>
    <row r="20" spans="1:30" ht="48.75" customHeight="1" x14ac:dyDescent="0.2">
      <c r="A20" s="122"/>
      <c r="B20" s="21" t="s">
        <v>76</v>
      </c>
      <c r="C20" s="22"/>
      <c r="D20" s="22"/>
      <c r="E20" s="22"/>
      <c r="F20" s="22"/>
      <c r="G20" s="22"/>
      <c r="H20" s="22"/>
      <c r="I20" s="22">
        <v>1</v>
      </c>
      <c r="J20" s="22">
        <v>1</v>
      </c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3" t="s">
        <v>51</v>
      </c>
      <c r="AB20" s="6" t="s">
        <v>29</v>
      </c>
      <c r="AC20" s="6"/>
      <c r="AD20" s="9"/>
    </row>
    <row r="21" spans="1:30" ht="62.25" customHeight="1" x14ac:dyDescent="0.2">
      <c r="A21" s="122"/>
      <c r="B21" s="21" t="s">
        <v>75</v>
      </c>
      <c r="C21" s="22"/>
      <c r="D21" s="22"/>
      <c r="E21" s="22"/>
      <c r="F21" s="22"/>
      <c r="G21" s="22"/>
      <c r="H21" s="22"/>
      <c r="I21" s="22"/>
      <c r="J21" s="22"/>
      <c r="K21" s="22">
        <v>1</v>
      </c>
      <c r="L21" s="22">
        <v>1</v>
      </c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3" t="s">
        <v>51</v>
      </c>
      <c r="AB21" s="6" t="s">
        <v>29</v>
      </c>
      <c r="AC21" s="6"/>
      <c r="AD21" s="9"/>
    </row>
    <row r="22" spans="1:30" ht="57.75" customHeight="1" x14ac:dyDescent="0.2">
      <c r="A22" s="122"/>
      <c r="B22" s="21" t="s">
        <v>42</v>
      </c>
      <c r="C22" s="22"/>
      <c r="D22" s="22"/>
      <c r="E22" s="22"/>
      <c r="F22" s="22"/>
      <c r="G22" s="22">
        <v>1</v>
      </c>
      <c r="H22" s="22">
        <v>1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3" t="s">
        <v>94</v>
      </c>
      <c r="AB22" s="6" t="s">
        <v>29</v>
      </c>
      <c r="AC22" s="6"/>
      <c r="AD22" s="8"/>
    </row>
    <row r="23" spans="1:30" ht="45" customHeight="1" x14ac:dyDescent="0.2">
      <c r="A23" s="122"/>
      <c r="B23" s="21" t="s">
        <v>43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>
        <v>1</v>
      </c>
      <c r="Z23" s="22"/>
      <c r="AA23" s="23" t="s">
        <v>94</v>
      </c>
      <c r="AB23" s="6" t="s">
        <v>29</v>
      </c>
      <c r="AC23" s="6"/>
      <c r="AD23" s="9"/>
    </row>
    <row r="24" spans="1:30" ht="46.5" customHeight="1" x14ac:dyDescent="0.2">
      <c r="A24" s="122"/>
      <c r="B24" s="21" t="s">
        <v>54</v>
      </c>
      <c r="C24" s="22"/>
      <c r="D24" s="22"/>
      <c r="E24" s="22"/>
      <c r="F24" s="22"/>
      <c r="G24" s="22"/>
      <c r="H24" s="22"/>
      <c r="I24" s="22">
        <v>1</v>
      </c>
      <c r="J24" s="22">
        <v>1</v>
      </c>
      <c r="K24" s="22"/>
      <c r="L24" s="22"/>
      <c r="M24" s="22"/>
      <c r="N24" s="22"/>
      <c r="O24" s="22"/>
      <c r="P24" s="22"/>
      <c r="Q24" s="22">
        <v>1</v>
      </c>
      <c r="R24" s="22"/>
      <c r="S24" s="22"/>
      <c r="T24" s="22"/>
      <c r="U24" s="22"/>
      <c r="V24" s="22"/>
      <c r="W24" s="22"/>
      <c r="X24" s="22"/>
      <c r="Y24" s="22">
        <v>1</v>
      </c>
      <c r="Z24" s="22"/>
      <c r="AA24" s="23" t="s">
        <v>94</v>
      </c>
      <c r="AB24" s="6" t="s">
        <v>29</v>
      </c>
      <c r="AC24" s="6"/>
      <c r="AD24" s="9"/>
    </row>
    <row r="25" spans="1:30" ht="68.25" customHeight="1" x14ac:dyDescent="0.2">
      <c r="A25" s="114" t="s">
        <v>27</v>
      </c>
      <c r="B25" s="21" t="s">
        <v>101</v>
      </c>
      <c r="C25" s="22"/>
      <c r="D25" s="22"/>
      <c r="E25" s="22">
        <v>1</v>
      </c>
      <c r="F25" s="22">
        <v>1</v>
      </c>
      <c r="G25" s="22">
        <v>1</v>
      </c>
      <c r="H25" s="22">
        <v>1</v>
      </c>
      <c r="I25" s="22">
        <v>1</v>
      </c>
      <c r="J25" s="22">
        <v>1</v>
      </c>
      <c r="K25" s="22"/>
      <c r="L25" s="22"/>
      <c r="M25" s="22">
        <v>1</v>
      </c>
      <c r="N25" s="22">
        <v>1</v>
      </c>
      <c r="O25" s="22">
        <v>1</v>
      </c>
      <c r="P25" s="22"/>
      <c r="Q25" s="22">
        <v>1</v>
      </c>
      <c r="R25" s="22"/>
      <c r="S25" s="22"/>
      <c r="T25" s="22"/>
      <c r="U25" s="22"/>
      <c r="V25" s="22"/>
      <c r="W25" s="22"/>
      <c r="X25" s="22"/>
      <c r="Y25" s="22"/>
      <c r="Z25" s="22"/>
      <c r="AA25" s="23" t="s">
        <v>99</v>
      </c>
      <c r="AB25" s="6" t="s">
        <v>29</v>
      </c>
      <c r="AC25" s="6" t="s">
        <v>29</v>
      </c>
      <c r="AD25" s="9"/>
    </row>
    <row r="26" spans="1:30" ht="68.25" customHeight="1" x14ac:dyDescent="0.2">
      <c r="A26" s="114"/>
      <c r="B26" s="21" t="s">
        <v>100</v>
      </c>
      <c r="C26" s="22">
        <v>1</v>
      </c>
      <c r="D26" s="22">
        <v>1</v>
      </c>
      <c r="E26" s="22">
        <v>1</v>
      </c>
      <c r="F26" s="22">
        <v>1</v>
      </c>
      <c r="G26" s="22">
        <v>1</v>
      </c>
      <c r="H26" s="22">
        <v>1</v>
      </c>
      <c r="I26" s="22">
        <v>1</v>
      </c>
      <c r="J26" s="22">
        <v>1</v>
      </c>
      <c r="K26" s="22">
        <v>1</v>
      </c>
      <c r="L26" s="22">
        <v>1</v>
      </c>
      <c r="M26" s="22">
        <v>1</v>
      </c>
      <c r="N26" s="22">
        <v>1</v>
      </c>
      <c r="O26" s="22">
        <v>1</v>
      </c>
      <c r="P26" s="22"/>
      <c r="Q26" s="22">
        <v>1</v>
      </c>
      <c r="R26" s="22"/>
      <c r="S26" s="22">
        <v>1</v>
      </c>
      <c r="T26" s="22"/>
      <c r="U26" s="22">
        <v>1</v>
      </c>
      <c r="V26" s="22"/>
      <c r="W26" s="22">
        <v>1</v>
      </c>
      <c r="X26" s="22"/>
      <c r="Y26" s="22">
        <v>1</v>
      </c>
      <c r="Z26" s="22"/>
      <c r="AA26" s="23" t="s">
        <v>94</v>
      </c>
      <c r="AB26" s="6" t="s">
        <v>29</v>
      </c>
      <c r="AC26" s="6"/>
      <c r="AD26" s="8" t="s">
        <v>93</v>
      </c>
    </row>
    <row r="27" spans="1:30" ht="68.25" customHeight="1" x14ac:dyDescent="0.2">
      <c r="A27" s="114"/>
      <c r="B27" s="21" t="s">
        <v>83</v>
      </c>
      <c r="C27" s="22"/>
      <c r="D27" s="22"/>
      <c r="E27" s="22">
        <v>1</v>
      </c>
      <c r="F27" s="22">
        <v>1</v>
      </c>
      <c r="G27" s="22"/>
      <c r="H27" s="22"/>
      <c r="I27" s="22"/>
      <c r="J27" s="22"/>
      <c r="K27" s="22">
        <v>1</v>
      </c>
      <c r="L27" s="22">
        <v>1</v>
      </c>
      <c r="M27" s="22"/>
      <c r="N27" s="22"/>
      <c r="O27" s="22"/>
      <c r="P27" s="22"/>
      <c r="Q27" s="22">
        <v>1</v>
      </c>
      <c r="R27" s="22"/>
      <c r="S27" s="22"/>
      <c r="T27" s="22"/>
      <c r="U27" s="22"/>
      <c r="V27" s="22"/>
      <c r="W27" s="22">
        <v>1</v>
      </c>
      <c r="X27" s="22"/>
      <c r="Y27" s="22"/>
      <c r="Z27" s="22"/>
      <c r="AA27" s="23" t="s">
        <v>84</v>
      </c>
      <c r="AB27" s="6" t="s">
        <v>29</v>
      </c>
      <c r="AC27" s="6"/>
      <c r="AD27" s="8"/>
    </row>
    <row r="28" spans="1:30" ht="68.25" customHeight="1" x14ac:dyDescent="0.2">
      <c r="A28" s="114"/>
      <c r="B28" s="21" t="s">
        <v>79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>
        <v>1</v>
      </c>
      <c r="X28" s="22"/>
      <c r="Y28" s="22"/>
      <c r="Z28" s="22"/>
      <c r="AA28" s="23" t="s">
        <v>38</v>
      </c>
      <c r="AB28" s="6"/>
      <c r="AC28" s="6" t="s">
        <v>29</v>
      </c>
      <c r="AD28" s="8"/>
    </row>
    <row r="29" spans="1:30" ht="88.5" customHeight="1" x14ac:dyDescent="0.2">
      <c r="A29" s="114"/>
      <c r="B29" s="21" t="s">
        <v>44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>
        <v>1</v>
      </c>
      <c r="N29" s="22">
        <v>1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>
        <v>1</v>
      </c>
      <c r="Z29" s="22"/>
      <c r="AA29" s="23" t="s">
        <v>94</v>
      </c>
      <c r="AB29" s="6" t="s">
        <v>29</v>
      </c>
      <c r="AC29" s="6"/>
      <c r="AD29" s="8" t="s">
        <v>102</v>
      </c>
    </row>
    <row r="30" spans="1:30" ht="60" customHeight="1" x14ac:dyDescent="0.2">
      <c r="A30" s="114"/>
      <c r="B30" s="21" t="s">
        <v>45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>
        <v>1</v>
      </c>
      <c r="N30" s="22">
        <v>1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>
        <v>1</v>
      </c>
      <c r="Z30" s="22"/>
      <c r="AA30" s="23" t="s">
        <v>94</v>
      </c>
      <c r="AB30" s="6" t="s">
        <v>29</v>
      </c>
      <c r="AC30" s="6"/>
      <c r="AD30" s="8" t="s">
        <v>102</v>
      </c>
    </row>
    <row r="31" spans="1:30" ht="81.75" customHeight="1" x14ac:dyDescent="0.2">
      <c r="A31" s="105" t="s">
        <v>28</v>
      </c>
      <c r="B31" s="21" t="s">
        <v>35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>
        <v>1</v>
      </c>
      <c r="Z31" s="22"/>
      <c r="AA31" s="23" t="s">
        <v>38</v>
      </c>
      <c r="AB31" s="6" t="s">
        <v>29</v>
      </c>
      <c r="AC31" s="6" t="s">
        <v>29</v>
      </c>
      <c r="AD31" s="9"/>
    </row>
    <row r="32" spans="1:30" ht="52.5" customHeight="1" x14ac:dyDescent="0.2">
      <c r="A32" s="105"/>
      <c r="B32" s="21" t="s">
        <v>46</v>
      </c>
      <c r="C32" s="22">
        <v>1</v>
      </c>
      <c r="D32" s="22">
        <v>1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3" t="s">
        <v>39</v>
      </c>
      <c r="AB32" s="6" t="s">
        <v>29</v>
      </c>
      <c r="AC32" s="6"/>
      <c r="AD32" s="9"/>
    </row>
    <row r="33" spans="1:30" ht="77.25" customHeight="1" x14ac:dyDescent="0.2">
      <c r="A33" s="32" t="s">
        <v>32</v>
      </c>
      <c r="B33" s="21" t="s">
        <v>80</v>
      </c>
      <c r="C33" s="22"/>
      <c r="D33" s="22"/>
      <c r="E33" s="22"/>
      <c r="F33" s="22"/>
      <c r="G33" s="22"/>
      <c r="H33" s="22"/>
      <c r="I33" s="22"/>
      <c r="J33" s="22"/>
      <c r="K33" s="22">
        <v>1</v>
      </c>
      <c r="L33" s="22">
        <v>1</v>
      </c>
      <c r="M33" s="22"/>
      <c r="N33" s="22"/>
      <c r="O33" s="22"/>
      <c r="P33" s="22"/>
      <c r="Q33" s="22"/>
      <c r="R33" s="22"/>
      <c r="S33" s="22">
        <v>1</v>
      </c>
      <c r="T33" s="22"/>
      <c r="U33" s="22"/>
      <c r="V33" s="22"/>
      <c r="W33" s="22"/>
      <c r="X33" s="22"/>
      <c r="Y33" s="22"/>
      <c r="Z33" s="22"/>
      <c r="AA33" s="23" t="s">
        <v>99</v>
      </c>
      <c r="AB33" s="6" t="s">
        <v>29</v>
      </c>
      <c r="AC33" s="6"/>
      <c r="AD33" s="9"/>
    </row>
    <row r="34" spans="1:30" ht="75" customHeight="1" x14ac:dyDescent="0.2">
      <c r="A34" s="94" t="s">
        <v>10</v>
      </c>
      <c r="B34" s="95"/>
      <c r="C34" s="24">
        <f t="shared" ref="C34:Z34" si="0">SUM(C13:C33)</f>
        <v>6</v>
      </c>
      <c r="D34" s="24">
        <f t="shared" si="0"/>
        <v>6</v>
      </c>
      <c r="E34" s="24">
        <f t="shared" si="0"/>
        <v>6</v>
      </c>
      <c r="F34" s="24">
        <f t="shared" si="0"/>
        <v>6</v>
      </c>
      <c r="G34" s="24">
        <f t="shared" si="0"/>
        <v>5</v>
      </c>
      <c r="H34" s="24">
        <f t="shared" si="0"/>
        <v>5</v>
      </c>
      <c r="I34" s="24">
        <f t="shared" si="0"/>
        <v>5</v>
      </c>
      <c r="J34" s="24">
        <f t="shared" si="0"/>
        <v>5</v>
      </c>
      <c r="K34" s="24">
        <f t="shared" si="0"/>
        <v>5</v>
      </c>
      <c r="L34" s="24">
        <f t="shared" si="0"/>
        <v>5</v>
      </c>
      <c r="M34" s="24">
        <f t="shared" si="0"/>
        <v>5</v>
      </c>
      <c r="N34" s="24">
        <f t="shared" si="0"/>
        <v>5</v>
      </c>
      <c r="O34" s="24">
        <f t="shared" si="0"/>
        <v>3</v>
      </c>
      <c r="P34" s="24">
        <f t="shared" si="0"/>
        <v>0</v>
      </c>
      <c r="Q34" s="24">
        <f t="shared" si="0"/>
        <v>5</v>
      </c>
      <c r="R34" s="24">
        <f t="shared" si="0"/>
        <v>0</v>
      </c>
      <c r="S34" s="24">
        <f t="shared" si="0"/>
        <v>3</v>
      </c>
      <c r="T34" s="24">
        <f t="shared" si="0"/>
        <v>0</v>
      </c>
      <c r="U34" s="24">
        <f t="shared" si="0"/>
        <v>2</v>
      </c>
      <c r="V34" s="24">
        <f t="shared" si="0"/>
        <v>0</v>
      </c>
      <c r="W34" s="24">
        <f t="shared" si="0"/>
        <v>4</v>
      </c>
      <c r="X34" s="24">
        <f t="shared" si="0"/>
        <v>0</v>
      </c>
      <c r="Y34" s="25">
        <f t="shared" si="0"/>
        <v>7</v>
      </c>
      <c r="Z34" s="24">
        <f t="shared" si="0"/>
        <v>0</v>
      </c>
      <c r="AA34" s="26"/>
      <c r="AB34" s="6"/>
      <c r="AC34" s="6"/>
      <c r="AD34" s="11"/>
    </row>
    <row r="35" spans="1:30" ht="21" customHeight="1" x14ac:dyDescent="0.2">
      <c r="A35" s="71" t="s">
        <v>7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72"/>
      <c r="AB35" s="3"/>
      <c r="AC35" s="3"/>
      <c r="AD35" s="11"/>
    </row>
    <row r="36" spans="1:30" ht="15" customHeight="1" x14ac:dyDescent="0.2">
      <c r="A36" s="82" t="s">
        <v>55</v>
      </c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4"/>
    </row>
    <row r="37" spans="1:30" s="4" customFormat="1" ht="8.25" customHeight="1" thickBot="1" x14ac:dyDescent="0.25">
      <c r="A37" s="73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5"/>
      <c r="AB37" s="75"/>
      <c r="AC37" s="75"/>
      <c r="AD37" s="76"/>
    </row>
    <row r="38" spans="1:30" ht="24" customHeight="1" x14ac:dyDescent="0.2">
      <c r="A38" s="71" t="s">
        <v>69</v>
      </c>
      <c r="B38" s="72"/>
      <c r="C38" s="77" t="s">
        <v>56</v>
      </c>
      <c r="D38" s="78"/>
      <c r="E38" s="77" t="s">
        <v>57</v>
      </c>
      <c r="F38" s="78"/>
      <c r="G38" s="77" t="s">
        <v>58</v>
      </c>
      <c r="H38" s="78"/>
      <c r="I38" s="77" t="s">
        <v>59</v>
      </c>
      <c r="J38" s="78"/>
      <c r="K38" s="77" t="s">
        <v>60</v>
      </c>
      <c r="L38" s="78"/>
      <c r="M38" s="77" t="s">
        <v>61</v>
      </c>
      <c r="N38" s="78"/>
      <c r="O38" s="77" t="s">
        <v>62</v>
      </c>
      <c r="P38" s="78"/>
      <c r="Q38" s="77" t="s">
        <v>63</v>
      </c>
      <c r="R38" s="78"/>
      <c r="S38" s="77" t="s">
        <v>64</v>
      </c>
      <c r="T38" s="78"/>
      <c r="U38" s="77" t="s">
        <v>65</v>
      </c>
      <c r="V38" s="78"/>
      <c r="W38" s="77" t="s">
        <v>66</v>
      </c>
      <c r="X38" s="78"/>
      <c r="Y38" s="77" t="s">
        <v>67</v>
      </c>
      <c r="Z38" s="87"/>
      <c r="AA38" s="102" t="s">
        <v>4</v>
      </c>
      <c r="AB38" s="103"/>
      <c r="AC38" s="103"/>
      <c r="AD38" s="104"/>
    </row>
    <row r="39" spans="1:30" ht="23.1" customHeight="1" thickBot="1" x14ac:dyDescent="0.25">
      <c r="A39" s="69" t="s">
        <v>11</v>
      </c>
      <c r="B39" s="70"/>
      <c r="C39" s="13">
        <f>SUM(C34)</f>
        <v>6</v>
      </c>
      <c r="D39" s="13">
        <f t="shared" ref="D39:Z39" si="1">D34</f>
        <v>6</v>
      </c>
      <c r="E39" s="13">
        <f t="shared" si="1"/>
        <v>6</v>
      </c>
      <c r="F39" s="13">
        <f t="shared" si="1"/>
        <v>6</v>
      </c>
      <c r="G39" s="13">
        <f t="shared" si="1"/>
        <v>5</v>
      </c>
      <c r="H39" s="13">
        <f t="shared" si="1"/>
        <v>5</v>
      </c>
      <c r="I39" s="13">
        <f t="shared" si="1"/>
        <v>5</v>
      </c>
      <c r="J39" s="13">
        <f t="shared" si="1"/>
        <v>5</v>
      </c>
      <c r="K39" s="13">
        <f t="shared" si="1"/>
        <v>5</v>
      </c>
      <c r="L39" s="13">
        <f t="shared" si="1"/>
        <v>5</v>
      </c>
      <c r="M39" s="13">
        <f t="shared" si="1"/>
        <v>5</v>
      </c>
      <c r="N39" s="13">
        <f t="shared" si="1"/>
        <v>5</v>
      </c>
      <c r="O39" s="13">
        <f t="shared" si="1"/>
        <v>3</v>
      </c>
      <c r="P39" s="13">
        <f t="shared" si="1"/>
        <v>0</v>
      </c>
      <c r="Q39" s="13">
        <f t="shared" si="1"/>
        <v>5</v>
      </c>
      <c r="R39" s="13">
        <f t="shared" si="1"/>
        <v>0</v>
      </c>
      <c r="S39" s="13">
        <f t="shared" si="1"/>
        <v>3</v>
      </c>
      <c r="T39" s="13">
        <f t="shared" si="1"/>
        <v>0</v>
      </c>
      <c r="U39" s="13">
        <f t="shared" si="1"/>
        <v>2</v>
      </c>
      <c r="V39" s="13">
        <f t="shared" si="1"/>
        <v>0</v>
      </c>
      <c r="W39" s="13">
        <f t="shared" si="1"/>
        <v>4</v>
      </c>
      <c r="X39" s="13">
        <f t="shared" si="1"/>
        <v>0</v>
      </c>
      <c r="Y39" s="13">
        <f t="shared" si="1"/>
        <v>7</v>
      </c>
      <c r="Z39" s="14">
        <f t="shared" si="1"/>
        <v>0</v>
      </c>
      <c r="AA39" s="80">
        <f>C39+E39+G39+I39+K39+M39+O39+Q39+S39+U39+W39+Y39</f>
        <v>56</v>
      </c>
      <c r="AB39" s="85">
        <f>D39+F39+H39+J39+L39+N39+P39+R39+T39+V39+X39+Z39</f>
        <v>32</v>
      </c>
      <c r="AC39" s="85"/>
      <c r="AD39" s="28">
        <f>AB39/AA39</f>
        <v>0.5714285714285714</v>
      </c>
    </row>
    <row r="40" spans="1:30" ht="18" customHeight="1" x14ac:dyDescent="0.2">
      <c r="A40" s="69" t="s">
        <v>68</v>
      </c>
      <c r="B40" s="70"/>
      <c r="C40" s="44">
        <f>D39/C39</f>
        <v>1</v>
      </c>
      <c r="D40" s="45"/>
      <c r="E40" s="44">
        <f>F39/E39</f>
        <v>1</v>
      </c>
      <c r="F40" s="45"/>
      <c r="G40" s="44">
        <f>H39/G39</f>
        <v>1</v>
      </c>
      <c r="H40" s="45"/>
      <c r="I40" s="44">
        <f>J39/I39</f>
        <v>1</v>
      </c>
      <c r="J40" s="45"/>
      <c r="K40" s="44">
        <f>L39/K39</f>
        <v>1</v>
      </c>
      <c r="L40" s="45"/>
      <c r="M40" s="44">
        <f>N39/M39</f>
        <v>1</v>
      </c>
      <c r="N40" s="45"/>
      <c r="O40" s="44">
        <f>P39/O39</f>
        <v>0</v>
      </c>
      <c r="P40" s="45"/>
      <c r="Q40" s="44">
        <f>R39/Q39</f>
        <v>0</v>
      </c>
      <c r="R40" s="45"/>
      <c r="S40" s="44">
        <f>T39/S39</f>
        <v>0</v>
      </c>
      <c r="T40" s="45"/>
      <c r="U40" s="44">
        <f>V39/U39</f>
        <v>0</v>
      </c>
      <c r="V40" s="45"/>
      <c r="W40" s="44">
        <f>X39/W39</f>
        <v>0</v>
      </c>
      <c r="X40" s="45"/>
      <c r="Y40" s="44">
        <f>Z39/Y39</f>
        <v>0</v>
      </c>
      <c r="Z40" s="46"/>
      <c r="AA40" s="80"/>
      <c r="AB40" s="85"/>
      <c r="AC40" s="86"/>
      <c r="AD40" s="29" t="s">
        <v>5</v>
      </c>
    </row>
    <row r="41" spans="1:30" ht="23.25" customHeight="1" thickBot="1" x14ac:dyDescent="0.25">
      <c r="A41" s="61" t="s">
        <v>24</v>
      </c>
      <c r="B41" s="62"/>
      <c r="C41" s="50">
        <v>0.9</v>
      </c>
      <c r="D41" s="52"/>
      <c r="E41" s="50">
        <v>0.9</v>
      </c>
      <c r="F41" s="52"/>
      <c r="G41" s="50">
        <v>0.9</v>
      </c>
      <c r="H41" s="52"/>
      <c r="I41" s="50">
        <v>0.9</v>
      </c>
      <c r="J41" s="52"/>
      <c r="K41" s="50">
        <v>0.9</v>
      </c>
      <c r="L41" s="52"/>
      <c r="M41" s="50">
        <v>0.9</v>
      </c>
      <c r="N41" s="52"/>
      <c r="O41" s="50">
        <v>0.9</v>
      </c>
      <c r="P41" s="52"/>
      <c r="Q41" s="50">
        <v>0.9</v>
      </c>
      <c r="R41" s="52"/>
      <c r="S41" s="50">
        <v>0.9</v>
      </c>
      <c r="T41" s="52"/>
      <c r="U41" s="50">
        <v>0.9</v>
      </c>
      <c r="V41" s="52"/>
      <c r="W41" s="50">
        <v>0.9</v>
      </c>
      <c r="X41" s="52"/>
      <c r="Y41" s="50">
        <v>0.9</v>
      </c>
      <c r="Z41" s="51"/>
      <c r="AA41" s="15" t="s">
        <v>25</v>
      </c>
      <c r="AB41" s="48" t="s">
        <v>26</v>
      </c>
      <c r="AC41" s="49"/>
      <c r="AD41" s="30">
        <v>0.9</v>
      </c>
    </row>
    <row r="42" spans="1:30" x14ac:dyDescent="0.2">
      <c r="A42" s="53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5"/>
      <c r="AB42" s="55"/>
      <c r="AC42" s="55"/>
      <c r="AD42" s="56"/>
    </row>
    <row r="43" spans="1:30" x14ac:dyDescent="0.2">
      <c r="A43" s="57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6"/>
    </row>
    <row r="44" spans="1:30" x14ac:dyDescent="0.2">
      <c r="A44" s="57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6"/>
    </row>
    <row r="45" spans="1:30" x14ac:dyDescent="0.2">
      <c r="A45" s="57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6"/>
    </row>
    <row r="46" spans="1:30" x14ac:dyDescent="0.2">
      <c r="A46" s="57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6"/>
    </row>
    <row r="47" spans="1:30" x14ac:dyDescent="0.2">
      <c r="A47" s="57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6"/>
    </row>
    <row r="48" spans="1:30" x14ac:dyDescent="0.2">
      <c r="A48" s="57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6"/>
    </row>
    <row r="49" spans="1:30" x14ac:dyDescent="0.2">
      <c r="A49" s="57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6"/>
    </row>
    <row r="50" spans="1:30" x14ac:dyDescent="0.2">
      <c r="A50" s="57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6"/>
    </row>
    <row r="51" spans="1:30" x14ac:dyDescent="0.2">
      <c r="A51" s="57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6"/>
    </row>
    <row r="52" spans="1:30" x14ac:dyDescent="0.2">
      <c r="A52" s="57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6"/>
    </row>
    <row r="53" spans="1:30" x14ac:dyDescent="0.2">
      <c r="A53" s="57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6"/>
    </row>
    <row r="54" spans="1:30" x14ac:dyDescent="0.2">
      <c r="A54" s="57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6"/>
    </row>
    <row r="55" spans="1:30" x14ac:dyDescent="0.2">
      <c r="A55" s="57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6"/>
    </row>
    <row r="56" spans="1:30" x14ac:dyDescent="0.2">
      <c r="A56" s="57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6"/>
    </row>
    <row r="57" spans="1:30" x14ac:dyDescent="0.2">
      <c r="A57" s="57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6"/>
    </row>
    <row r="58" spans="1:30" x14ac:dyDescent="0.2">
      <c r="A58" s="57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6"/>
    </row>
    <row r="59" spans="1:30" ht="11.25" customHeight="1" thickBot="1" x14ac:dyDescent="0.25">
      <c r="A59" s="58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60"/>
    </row>
  </sheetData>
  <mergeCells count="88">
    <mergeCell ref="S41:T41"/>
    <mergeCell ref="U41:V41"/>
    <mergeCell ref="W41:X41"/>
    <mergeCell ref="Y41:Z41"/>
    <mergeCell ref="AB41:AC41"/>
    <mergeCell ref="A42:AD59"/>
    <mergeCell ref="Y40:Z40"/>
    <mergeCell ref="A41:B41"/>
    <mergeCell ref="C41:D41"/>
    <mergeCell ref="E41:F41"/>
    <mergeCell ref="G41:H41"/>
    <mergeCell ref="I41:J41"/>
    <mergeCell ref="K41:L41"/>
    <mergeCell ref="M41:N41"/>
    <mergeCell ref="O41:P41"/>
    <mergeCell ref="Q41:R41"/>
    <mergeCell ref="M40:N40"/>
    <mergeCell ref="O40:P40"/>
    <mergeCell ref="Q40:R40"/>
    <mergeCell ref="S40:T40"/>
    <mergeCell ref="U40:V40"/>
    <mergeCell ref="W40:X40"/>
    <mergeCell ref="AA38:AD38"/>
    <mergeCell ref="A39:B39"/>
    <mergeCell ref="AA39:AA40"/>
    <mergeCell ref="AB39:AC40"/>
    <mergeCell ref="A40:B40"/>
    <mergeCell ref="C40:D40"/>
    <mergeCell ref="E40:F40"/>
    <mergeCell ref="G40:H40"/>
    <mergeCell ref="I40:J40"/>
    <mergeCell ref="K40:L40"/>
    <mergeCell ref="O38:P38"/>
    <mergeCell ref="Q38:R38"/>
    <mergeCell ref="S38:T38"/>
    <mergeCell ref="U38:V38"/>
    <mergeCell ref="W38:X38"/>
    <mergeCell ref="Y38:Z38"/>
    <mergeCell ref="A35:AA35"/>
    <mergeCell ref="A36:AD36"/>
    <mergeCell ref="A37:AD37"/>
    <mergeCell ref="A38:B38"/>
    <mergeCell ref="C38:D38"/>
    <mergeCell ref="E38:F38"/>
    <mergeCell ref="G38:H38"/>
    <mergeCell ref="I38:J38"/>
    <mergeCell ref="K38:L38"/>
    <mergeCell ref="M38:N38"/>
    <mergeCell ref="AB11:AB12"/>
    <mergeCell ref="AC11:AC12"/>
    <mergeCell ref="A13:A24"/>
    <mergeCell ref="A25:A30"/>
    <mergeCell ref="A31:A32"/>
    <mergeCell ref="A34:B34"/>
    <mergeCell ref="O11:P11"/>
    <mergeCell ref="Q11:R11"/>
    <mergeCell ref="S11:T11"/>
    <mergeCell ref="U11:V11"/>
    <mergeCell ref="W11:X11"/>
    <mergeCell ref="Y11:Z11"/>
    <mergeCell ref="C11:D11"/>
    <mergeCell ref="E11:F11"/>
    <mergeCell ref="G11:H11"/>
    <mergeCell ref="I11:J11"/>
    <mergeCell ref="K11:L11"/>
    <mergeCell ref="M11:N11"/>
    <mergeCell ref="A8:F8"/>
    <mergeCell ref="G8:X8"/>
    <mergeCell ref="Y8:AD8"/>
    <mergeCell ref="A9:AD9"/>
    <mergeCell ref="A10:A12"/>
    <mergeCell ref="B10:B12"/>
    <mergeCell ref="C10:Z10"/>
    <mergeCell ref="AA10:AA12"/>
    <mergeCell ref="AB10:AC10"/>
    <mergeCell ref="AD10:AD12"/>
    <mergeCell ref="A4:AD4"/>
    <mergeCell ref="A5:AD5"/>
    <mergeCell ref="A6:AD6"/>
    <mergeCell ref="A7:F7"/>
    <mergeCell ref="G7:X7"/>
    <mergeCell ref="Y7:AD7"/>
    <mergeCell ref="A1:B3"/>
    <mergeCell ref="C1:AA1"/>
    <mergeCell ref="AB1:AD1"/>
    <mergeCell ref="C2:AA3"/>
    <mergeCell ref="AB2:AD2"/>
    <mergeCell ref="AB3:AD3"/>
  </mergeCells>
  <conditionalFormatting sqref="C40:C41 E40:E41 G40:G41 K40:K41 O40:O41 S40:S41 W40:W41 I40:I41 M40:M41 Q40:Q41 U40:U41 Y40:Y41 AB13:AC16 AB18:AC18 AB20:AC25 AB28:AC34 C13:Z34">
    <cfRule type="cellIs" dxfId="39" priority="35" operator="between">
      <formula>1</formula>
      <formula>9</formula>
    </cfRule>
    <cfRule type="cellIs" dxfId="38" priority="36" stopIfTrue="1" operator="equal">
      <formula>0</formula>
    </cfRule>
    <cfRule type="cellIs" dxfId="37" priority="37" stopIfTrue="1" operator="equal">
      <formula>0</formula>
    </cfRule>
    <cfRule type="cellIs" dxfId="36" priority="38" stopIfTrue="1" operator="equal">
      <formula>0</formula>
    </cfRule>
    <cfRule type="cellIs" dxfId="35" priority="39" stopIfTrue="1" operator="equal">
      <formula>0</formula>
    </cfRule>
    <cfRule type="cellIs" dxfId="34" priority="40" stopIfTrue="1" operator="equal">
      <formula>1</formula>
    </cfRule>
  </conditionalFormatting>
  <conditionalFormatting sqref="C40:C41 E40:E41 G40:G41 K40:K41 O40:O41 S40:S41 W40:W41 I40:I41 M40:M41 Q40:Q41 U40:U41 Y40:Y41 AB13:AC16 AB18:AC18 AB20:AC25 AB28:AC34 C13:Z34">
    <cfRule type="cellIs" dxfId="33" priority="34" operator="equal">
      <formula>0</formula>
    </cfRule>
  </conditionalFormatting>
  <conditionalFormatting sqref="C40:C41 E40:E41 G40:G41 K40:K41 O40:O41 S40:S41 W40:W41 I40:I41 M40:M41 Q40:Q41 U40:U41 Y40:Y41 AB13:AC16 AB18:AC18 AB20:AC25 AB28:AC34 C13:Z34">
    <cfRule type="cellIs" dxfId="32" priority="33" stopIfTrue="1" operator="equal">
      <formula>0</formula>
    </cfRule>
  </conditionalFormatting>
  <conditionalFormatting sqref="AB17:AC17">
    <cfRule type="cellIs" dxfId="31" priority="27" operator="between">
      <formula>1</formula>
      <formula>9</formula>
    </cfRule>
    <cfRule type="cellIs" dxfId="30" priority="28" stopIfTrue="1" operator="equal">
      <formula>0</formula>
    </cfRule>
    <cfRule type="cellIs" dxfId="29" priority="29" stopIfTrue="1" operator="equal">
      <formula>0</formula>
    </cfRule>
    <cfRule type="cellIs" dxfId="28" priority="30" stopIfTrue="1" operator="equal">
      <formula>0</formula>
    </cfRule>
    <cfRule type="cellIs" dxfId="27" priority="31" stopIfTrue="1" operator="equal">
      <formula>0</formula>
    </cfRule>
    <cfRule type="cellIs" dxfId="26" priority="32" stopIfTrue="1" operator="equal">
      <formula>1</formula>
    </cfRule>
  </conditionalFormatting>
  <conditionalFormatting sqref="AB17:AC17">
    <cfRule type="cellIs" dxfId="25" priority="26" operator="equal">
      <formula>0</formula>
    </cfRule>
  </conditionalFormatting>
  <conditionalFormatting sqref="AB17:AC17">
    <cfRule type="cellIs" dxfId="24" priority="25" stopIfTrue="1" operator="equal">
      <formula>0</formula>
    </cfRule>
  </conditionalFormatting>
  <conditionalFormatting sqref="AB19:AC19">
    <cfRule type="cellIs" dxfId="23" priority="19" operator="between">
      <formula>1</formula>
      <formula>9</formula>
    </cfRule>
    <cfRule type="cellIs" dxfId="22" priority="20" stopIfTrue="1" operator="equal">
      <formula>0</formula>
    </cfRule>
    <cfRule type="cellIs" dxfId="21" priority="21" stopIfTrue="1" operator="equal">
      <formula>0</formula>
    </cfRule>
    <cfRule type="cellIs" dxfId="20" priority="22" stopIfTrue="1" operator="equal">
      <formula>0</formula>
    </cfRule>
    <cfRule type="cellIs" dxfId="19" priority="23" stopIfTrue="1" operator="equal">
      <formula>0</formula>
    </cfRule>
    <cfRule type="cellIs" dxfId="18" priority="24" stopIfTrue="1" operator="equal">
      <formula>1</formula>
    </cfRule>
  </conditionalFormatting>
  <conditionalFormatting sqref="AB19:AC19">
    <cfRule type="cellIs" dxfId="17" priority="18" operator="equal">
      <formula>0</formula>
    </cfRule>
  </conditionalFormatting>
  <conditionalFormatting sqref="AB19:AC19">
    <cfRule type="cellIs" dxfId="16" priority="17" stopIfTrue="1" operator="equal">
      <formula>0</formula>
    </cfRule>
  </conditionalFormatting>
  <conditionalFormatting sqref="AB26:AC26">
    <cfRule type="cellIs" dxfId="15" priority="11" operator="between">
      <formula>1</formula>
      <formula>9</formula>
    </cfRule>
    <cfRule type="cellIs" dxfId="14" priority="12" stopIfTrue="1" operator="equal">
      <formula>0</formula>
    </cfRule>
    <cfRule type="cellIs" dxfId="13" priority="13" stopIfTrue="1" operator="equal">
      <formula>0</formula>
    </cfRule>
    <cfRule type="cellIs" dxfId="12" priority="14" stopIfTrue="1" operator="equal">
      <formula>0</formula>
    </cfRule>
    <cfRule type="cellIs" dxfId="11" priority="15" stopIfTrue="1" operator="equal">
      <formula>0</formula>
    </cfRule>
    <cfRule type="cellIs" dxfId="10" priority="16" stopIfTrue="1" operator="equal">
      <formula>1</formula>
    </cfRule>
  </conditionalFormatting>
  <conditionalFormatting sqref="AB26:AC26">
    <cfRule type="cellIs" dxfId="9" priority="10" operator="equal">
      <formula>0</formula>
    </cfRule>
  </conditionalFormatting>
  <conditionalFormatting sqref="AB26:AC26">
    <cfRule type="cellIs" dxfId="8" priority="9" stopIfTrue="1" operator="equal">
      <formula>0</formula>
    </cfRule>
  </conditionalFormatting>
  <conditionalFormatting sqref="AB27:AC27">
    <cfRule type="cellIs" dxfId="7" priority="3" operator="between">
      <formula>1</formula>
      <formula>9</formula>
    </cfRule>
    <cfRule type="cellIs" dxfId="6" priority="4" stopIfTrue="1" operator="equal">
      <formula>0</formula>
    </cfRule>
    <cfRule type="cellIs" dxfId="5" priority="5" stopIfTrue="1" operator="equal">
      <formula>0</formula>
    </cfRule>
    <cfRule type="cellIs" dxfId="4" priority="6" stopIfTrue="1" operator="equal">
      <formula>0</formula>
    </cfRule>
    <cfRule type="cellIs" dxfId="3" priority="7" stopIfTrue="1" operator="equal">
      <formula>0</formula>
    </cfRule>
    <cfRule type="cellIs" dxfId="2" priority="8" stopIfTrue="1" operator="equal">
      <formula>1</formula>
    </cfRule>
  </conditionalFormatting>
  <conditionalFormatting sqref="AB27:AC27">
    <cfRule type="cellIs" dxfId="1" priority="2" operator="equal">
      <formula>0</formula>
    </cfRule>
  </conditionalFormatting>
  <conditionalFormatting sqref="AB27:AC27">
    <cfRule type="cellIs" dxfId="0" priority="1" stopIfTrue="1" operator="equal">
      <formula>0</formula>
    </cfRule>
  </conditionalFormatting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rowBreaks count="1" manualBreakCount="1">
    <brk id="28" max="29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 Plan de Trabajo SST</vt:lpstr>
      <vt:lpstr>Hoja1</vt:lpstr>
      <vt:lpstr>Cumpl.Trabajo Anual 1er Semestr</vt:lpstr>
      <vt:lpstr>' Plan de Trabajo SST'!Área_de_impresión</vt:lpstr>
      <vt:lpstr>'Cumpl.Trabajo Anual 1er Semestr'!Área_de_impresión</vt:lpstr>
      <vt:lpstr>' Plan de Trabajo SST'!Títulos_a_imprimir</vt:lpstr>
      <vt:lpstr>'Cumpl.Trabajo Anual 1er Semestr'!Títulos_a_imprimir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2021-09-01T05:12:41Z</cp:lastPrinted>
  <dcterms:created xsi:type="dcterms:W3CDTF">2008-10-02T15:12:04Z</dcterms:created>
  <dcterms:modified xsi:type="dcterms:W3CDTF">2022-05-19T23:23:56Z</dcterms:modified>
</cp:coreProperties>
</file>