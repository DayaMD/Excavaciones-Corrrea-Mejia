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dayana\EXCAVACIONES CORREA MEJIA S.A.S\SGSST\SG-SST AÑO 2021\3_Asignacion de recursos\"/>
    </mc:Choice>
  </mc:AlternateContent>
  <bookViews>
    <workbookView xWindow="-120" yWindow="-120" windowWidth="20730" windowHeight="11160"/>
  </bookViews>
  <sheets>
    <sheet name="PRESUPUESTO SST" sheetId="1" r:id="rId1"/>
  </sheet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9" i="1" l="1"/>
  <c r="Q9" i="1" s="1"/>
  <c r="P11" i="1"/>
  <c r="P12" i="1"/>
  <c r="P13" i="1"/>
  <c r="Q13" i="1" s="1"/>
  <c r="P15" i="1"/>
  <c r="Q15" i="1" s="1"/>
  <c r="P16" i="1"/>
  <c r="Q16" i="1" s="1"/>
  <c r="P8" i="1"/>
  <c r="C8" i="1" l="1"/>
  <c r="Q8" i="1" s="1"/>
  <c r="K14" i="1" l="1"/>
  <c r="F14" i="1"/>
  <c r="P14" i="1" s="1"/>
  <c r="Q14" i="1" s="1"/>
  <c r="J10" i="1"/>
  <c r="P10" i="1" s="1"/>
  <c r="Q10" i="1" s="1"/>
  <c r="C11" i="1" l="1"/>
  <c r="Q11" i="1" s="1"/>
  <c r="C12" i="1"/>
  <c r="Q12" i="1" s="1"/>
  <c r="C17" i="1"/>
  <c r="I17" i="1" l="1"/>
  <c r="K17" i="1"/>
  <c r="D17" i="1"/>
  <c r="O17" i="1" l="1"/>
  <c r="E17" i="1"/>
  <c r="J17" i="1"/>
  <c r="L17" i="1"/>
  <c r="F17" i="1"/>
  <c r="N17" i="1"/>
  <c r="H17" i="1"/>
  <c r="M17" i="1"/>
  <c r="G17" i="1"/>
  <c r="P17" i="1" l="1"/>
  <c r="Q17" i="1" s="1"/>
</calcChain>
</file>

<file path=xl/comments1.xml><?xml version="1.0" encoding="utf-8"?>
<comments xmlns="http://schemas.openxmlformats.org/spreadsheetml/2006/main">
  <authors>
    <author>usuario</author>
  </authors>
  <commentList>
    <comment ref="J13" authorId="0" shapeId="0">
      <text>
        <r>
          <rPr>
            <b/>
            <sz val="9"/>
            <color indexed="81"/>
            <rFont val="Tahoma"/>
            <charset val="1"/>
          </rPr>
          <t>usuario:</t>
        </r>
        <r>
          <rPr>
            <sz val="9"/>
            <color indexed="81"/>
            <rFont val="Tahoma"/>
            <charset val="1"/>
          </rPr>
          <t xml:space="preserve">
CINTA REFLECTIVA PARA VOLQUETAS</t>
        </r>
      </text>
    </comment>
    <comment ref="E14" authorId="0" shapeId="0">
      <text>
        <r>
          <rPr>
            <b/>
            <sz val="9"/>
            <color indexed="81"/>
            <rFont val="Tahoma"/>
            <charset val="1"/>
          </rPr>
          <t>usuario:</t>
        </r>
        <r>
          <rPr>
            <sz val="9"/>
            <color indexed="81"/>
            <rFont val="Tahoma"/>
            <charset val="1"/>
          </rPr>
          <t xml:space="preserve">
EPP</t>
        </r>
      </text>
    </comment>
    <comment ref="F14" authorId="0" shapeId="0">
      <text>
        <r>
          <rPr>
            <b/>
            <sz val="9"/>
            <color indexed="81"/>
            <rFont val="Tahoma"/>
            <charset val="1"/>
          </rPr>
          <t>usuario:</t>
        </r>
        <r>
          <rPr>
            <sz val="9"/>
            <color indexed="81"/>
            <rFont val="Tahoma"/>
            <charset val="1"/>
          </rPr>
          <t xml:space="preserve">
PANTALONES + EPP</t>
        </r>
      </text>
    </comment>
    <comment ref="J14" authorId="0" shapeId="0">
      <text>
        <r>
          <rPr>
            <b/>
            <sz val="9"/>
            <color indexed="81"/>
            <rFont val="Tahoma"/>
            <charset val="1"/>
          </rPr>
          <t>usuario:</t>
        </r>
        <r>
          <rPr>
            <sz val="9"/>
            <color indexed="81"/>
            <rFont val="Tahoma"/>
            <charset val="1"/>
          </rPr>
          <t xml:space="preserve">
EPP</t>
        </r>
      </text>
    </comment>
    <comment ref="K14" authorId="0" shapeId="0">
      <text>
        <r>
          <rPr>
            <b/>
            <sz val="9"/>
            <color indexed="81"/>
            <rFont val="Tahoma"/>
            <charset val="1"/>
          </rPr>
          <t>usuario:</t>
        </r>
        <r>
          <rPr>
            <sz val="9"/>
            <color indexed="81"/>
            <rFont val="Tahoma"/>
            <charset val="1"/>
          </rPr>
          <t xml:space="preserve">
CAMISAS+EPP</t>
        </r>
      </text>
    </comment>
    <comment ref="G16" authorId="0" shapeId="0">
      <text>
        <r>
          <rPr>
            <b/>
            <sz val="9"/>
            <color indexed="81"/>
            <rFont val="Tahoma"/>
            <charset val="1"/>
          </rPr>
          <t>usuario:</t>
        </r>
        <r>
          <rPr>
            <sz val="9"/>
            <color indexed="81"/>
            <rFont val="Tahoma"/>
            <charset val="1"/>
          </rPr>
          <t xml:space="preserve">
Lina correa - gerente</t>
        </r>
      </text>
    </comment>
  </commentList>
</comments>
</file>

<file path=xl/sharedStrings.xml><?xml version="1.0" encoding="utf-8"?>
<sst xmlns="http://schemas.openxmlformats.org/spreadsheetml/2006/main" count="46" uniqueCount="43">
  <si>
    <t>DESCRIPCION</t>
  </si>
  <si>
    <t>ENERO</t>
  </si>
  <si>
    <t>% EJECUCION</t>
  </si>
  <si>
    <t>FEBRERO</t>
  </si>
  <si>
    <t>MARZO</t>
  </si>
  <si>
    <t>ABRIL</t>
  </si>
  <si>
    <t>MAYO</t>
  </si>
  <si>
    <t>JUNIO</t>
  </si>
  <si>
    <t>AGOSTO</t>
  </si>
  <si>
    <t>SEPTIEMBRE</t>
  </si>
  <si>
    <t>OCTUBRE</t>
  </si>
  <si>
    <t>NOVIEMBRE</t>
  </si>
  <si>
    <t>DICIEMBRE</t>
  </si>
  <si>
    <t>TOTAL</t>
  </si>
  <si>
    <t>Exámenes Ocup. Ingreso</t>
  </si>
  <si>
    <t>Exámenes Ocup. Periódicos</t>
  </si>
  <si>
    <t>Exámenes Ocup. Retiro</t>
  </si>
  <si>
    <t>JULIO</t>
  </si>
  <si>
    <t>OBSERVACIONES</t>
  </si>
  <si>
    <t>RECURSOS</t>
  </si>
  <si>
    <t>Pago a proveedores, equipo de cómputo.</t>
  </si>
  <si>
    <t>TOTAL AÑO 2018</t>
  </si>
  <si>
    <t>SISTEMA DE GESTIÓN DE LA SEGURIDAD Y SALUD EN EL TRABAJO</t>
  </si>
  <si>
    <t>SEGUIMIENTO A PRESUPUESTO GENERAL DEL SISTEMA DE GESTIÓN DE LA SEGURIDAD Y SALUD EN EL TRABAJO</t>
  </si>
  <si>
    <t>VIGENCIA</t>
  </si>
  <si>
    <t>Profesional en SST o Profesionales con posgrado en SST</t>
  </si>
  <si>
    <t>Diseño del Sistema de Gestión de Seguridad y Salud en el Trabajo</t>
  </si>
  <si>
    <t>Asesoria en derecho laboral</t>
  </si>
  <si>
    <t xml:space="preserve">Abogada con especialización en SST. </t>
  </si>
  <si>
    <t>PRESUPUESTO</t>
  </si>
  <si>
    <t>Proveedor externo que cumpla con licencia en SST, habilitación en salud</t>
  </si>
  <si>
    <t>Elementos de protección personal, Dotación</t>
  </si>
  <si>
    <t>Pago proveedor externo</t>
  </si>
  <si>
    <t>Pago de proveedor externo</t>
  </si>
  <si>
    <t>Señalización y demarcacion</t>
  </si>
  <si>
    <t>Antigeno SARS COV2</t>
  </si>
  <si>
    <t>Alcohol</t>
  </si>
  <si>
    <t>Fecha: 17/01/2020</t>
  </si>
  <si>
    <t>Version: 001</t>
  </si>
  <si>
    <t>Pagina 1 de 2</t>
  </si>
  <si>
    <t>Actualizó y Revisó</t>
  </si>
  <si>
    <t>Lina Maria Correa Mejía - Gerente</t>
  </si>
  <si>
    <t>Firma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</si>
</sst>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2" formatCode="_-&quot;$&quot;\ * #,##0_-;\-&quot;$&quot;\ * #,##0_-;_-&quot;$&quot;\ * &quot;-&quot;_-;_-@_-"/>
    <numFmt numFmtId="164" formatCode="_ &quot;$&quot;\ * #,##0.00_ ;_ &quot;$&quot;\ * \-#,##0.00_ ;_ &quot;$&quot;\ * &quot;-&quot;??_ ;_ @_ "/>
    <numFmt numFmtId="165" formatCode="General_)"/>
    <numFmt numFmtId="166" formatCode="_-[$$-240A]\ * #,##0_-;\-[$$-240A]\ * #,##0_-;_-[$$-240A]\ * &quot;-&quot;??_-;_-@_-"/>
  </numFmts>
  <fonts count="29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4"/>
      <color indexed="8"/>
      <name val="Arial"/>
      <family val="2"/>
    </font>
    <font>
      <sz val="10"/>
      <name val="Arial"/>
    </font>
    <font>
      <b/>
      <sz val="12"/>
      <color indexed="8"/>
      <name val="Arial"/>
      <family val="2"/>
    </font>
    <font>
      <b/>
      <sz val="1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4"/>
      <name val="Arial"/>
      <family val="2"/>
    </font>
    <font>
      <b/>
      <sz val="12"/>
      <name val="Arial"/>
      <family val="2"/>
    </font>
    <font>
      <sz val="12"/>
      <color indexed="8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18B"/>
        <bgColor indexed="38"/>
      </patternFill>
    </fill>
  </fills>
  <borders count="2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dashed">
        <color auto="1"/>
      </bottom>
      <diagonal/>
    </border>
    <border>
      <left style="thin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dashed">
        <color auto="1"/>
      </right>
      <top style="dashed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thin">
        <color auto="1"/>
      </bottom>
      <diagonal/>
    </border>
    <border>
      <left style="dashed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</borders>
  <cellStyleXfs count="4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4" borderId="0" applyNumberFormat="0" applyBorder="0" applyAlignment="0" applyProtection="0"/>
    <xf numFmtId="0" fontId="5" fillId="16" borderId="1" applyNumberFormat="0" applyAlignment="0" applyProtection="0"/>
    <xf numFmtId="0" fontId="6" fillId="17" borderId="2" applyNumberFormat="0" applyAlignment="0" applyProtection="0"/>
    <xf numFmtId="0" fontId="7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21" borderId="0" applyNumberFormat="0" applyBorder="0" applyAlignment="0" applyProtection="0"/>
    <xf numFmtId="0" fontId="9" fillId="7" borderId="1" applyNumberFormat="0" applyAlignment="0" applyProtection="0"/>
    <xf numFmtId="0" fontId="10" fillId="3" borderId="0" applyNumberFormat="0" applyBorder="0" applyAlignment="0" applyProtection="0"/>
    <xf numFmtId="164" fontId="1" fillId="0" borderId="0" applyFont="0" applyFill="0" applyBorder="0" applyAlignment="0" applyProtection="0"/>
    <xf numFmtId="0" fontId="11" fillId="22" borderId="0" applyNumberFormat="0" applyBorder="0" applyAlignment="0" applyProtection="0"/>
    <xf numFmtId="0" fontId="12" fillId="23" borderId="4" applyNumberFormat="0" applyFont="0" applyAlignment="0" applyProtection="0"/>
    <xf numFmtId="9" fontId="1" fillId="0" borderId="0" applyFont="0" applyFill="0" applyBorder="0" applyAlignment="0" applyProtection="0"/>
    <xf numFmtId="0" fontId="13" fillId="1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8" fillId="0" borderId="8" applyNumberFormat="0" applyFill="0" applyAlignment="0" applyProtection="0"/>
    <xf numFmtId="0" fontId="19" fillId="0" borderId="9" applyNumberFormat="0" applyFill="0" applyAlignment="0" applyProtection="0"/>
    <xf numFmtId="42" fontId="21" fillId="0" borderId="0" applyFont="0" applyFill="0" applyBorder="0" applyAlignment="0" applyProtection="0"/>
  </cellStyleXfs>
  <cellXfs count="45">
    <xf numFmtId="0" fontId="0" fillId="0" borderId="0" xfId="0"/>
    <xf numFmtId="0" fontId="20" fillId="24" borderId="0" xfId="0" applyFont="1" applyFill="1" applyBorder="1" applyAlignment="1">
      <alignment horizontal="center" vertical="center" wrapText="1"/>
    </xf>
    <xf numFmtId="0" fontId="20" fillId="24" borderId="0" xfId="0" applyFont="1" applyFill="1" applyBorder="1" applyAlignment="1">
      <alignment horizontal="left" vertical="center" wrapText="1"/>
    </xf>
    <xf numFmtId="0" fontId="22" fillId="24" borderId="10" xfId="0" applyFont="1" applyFill="1" applyBorder="1" applyAlignment="1">
      <alignment vertical="center" wrapText="1"/>
    </xf>
    <xf numFmtId="0" fontId="22" fillId="24" borderId="0" xfId="0" applyFont="1" applyFill="1" applyBorder="1" applyAlignment="1">
      <alignment vertical="center" wrapText="1"/>
    </xf>
    <xf numFmtId="0" fontId="1" fillId="0" borderId="0" xfId="0" applyFont="1" applyBorder="1" applyAlignment="1">
      <alignment horizontal="left" vertical="center"/>
    </xf>
    <xf numFmtId="0" fontId="23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22" fillId="24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20" fillId="24" borderId="11" xfId="0" applyFont="1" applyFill="1" applyBorder="1" applyAlignment="1">
      <alignment horizontal="right" vertical="center" wrapText="1"/>
    </xf>
    <xf numFmtId="0" fontId="20" fillId="24" borderId="12" xfId="0" applyFont="1" applyFill="1" applyBorder="1" applyAlignment="1">
      <alignment horizontal="center" vertical="center" wrapText="1"/>
    </xf>
    <xf numFmtId="0" fontId="26" fillId="0" borderId="0" xfId="0" applyFont="1" applyBorder="1" applyAlignment="1">
      <alignment vertical="center"/>
    </xf>
    <xf numFmtId="0" fontId="20" fillId="24" borderId="0" xfId="0" applyFont="1" applyFill="1" applyBorder="1" applyAlignment="1">
      <alignment vertical="center" wrapText="1"/>
    </xf>
    <xf numFmtId="0" fontId="20" fillId="24" borderId="0" xfId="0" applyFont="1" applyFill="1" applyBorder="1" applyAlignment="1">
      <alignment horizontal="right" vertical="center" wrapText="1"/>
    </xf>
    <xf numFmtId="0" fontId="20" fillId="24" borderId="12" xfId="0" applyFont="1" applyFill="1" applyBorder="1" applyAlignment="1">
      <alignment vertical="center" wrapText="1"/>
    </xf>
    <xf numFmtId="0" fontId="20" fillId="24" borderId="11" xfId="0" applyFont="1" applyFill="1" applyBorder="1" applyAlignment="1">
      <alignment horizontal="center" vertical="center" wrapText="1"/>
    </xf>
    <xf numFmtId="0" fontId="22" fillId="24" borderId="13" xfId="0" applyFont="1" applyFill="1" applyBorder="1" applyAlignment="1">
      <alignment vertical="center" wrapText="1"/>
    </xf>
    <xf numFmtId="0" fontId="20" fillId="24" borderId="13" xfId="0" applyFont="1" applyFill="1" applyBorder="1" applyAlignment="1">
      <alignment vertical="center" wrapText="1"/>
    </xf>
    <xf numFmtId="0" fontId="27" fillId="0" borderId="0" xfId="0" applyFont="1" applyBorder="1" applyAlignment="1">
      <alignment vertical="center"/>
    </xf>
    <xf numFmtId="0" fontId="22" fillId="26" borderId="14" xfId="0" applyFont="1" applyFill="1" applyBorder="1" applyAlignment="1">
      <alignment horizontal="center" vertical="center" wrapText="1"/>
    </xf>
    <xf numFmtId="0" fontId="22" fillId="26" borderId="15" xfId="0" applyFont="1" applyFill="1" applyBorder="1" applyAlignment="1">
      <alignment horizontal="center" vertical="center" wrapText="1"/>
    </xf>
    <xf numFmtId="0" fontId="22" fillId="26" borderId="16" xfId="0" applyFont="1" applyFill="1" applyBorder="1" applyAlignment="1">
      <alignment horizontal="center" vertical="center" wrapText="1"/>
    </xf>
    <xf numFmtId="0" fontId="28" fillId="24" borderId="17" xfId="0" applyFont="1" applyFill="1" applyBorder="1" applyAlignment="1">
      <alignment horizontal="left" vertical="center" wrapText="1"/>
    </xf>
    <xf numFmtId="0" fontId="28" fillId="24" borderId="18" xfId="0" applyFont="1" applyFill="1" applyBorder="1" applyAlignment="1">
      <alignment horizontal="left" vertical="center" wrapText="1"/>
    </xf>
    <xf numFmtId="166" fontId="28" fillId="24" borderId="18" xfId="44" applyNumberFormat="1" applyFont="1" applyFill="1" applyBorder="1" applyAlignment="1">
      <alignment horizontal="left" vertical="center" wrapText="1"/>
    </xf>
    <xf numFmtId="9" fontId="28" fillId="24" borderId="18" xfId="35" applyNumberFormat="1" applyFont="1" applyFill="1" applyBorder="1" applyAlignment="1">
      <alignment horizontal="center" vertical="center" wrapText="1"/>
    </xf>
    <xf numFmtId="9" fontId="28" fillId="24" borderId="19" xfId="35" applyNumberFormat="1" applyFont="1" applyFill="1" applyBorder="1" applyAlignment="1">
      <alignment horizontal="left" vertical="center" wrapText="1"/>
    </xf>
    <xf numFmtId="166" fontId="28" fillId="24" borderId="18" xfId="32" applyNumberFormat="1" applyFont="1" applyFill="1" applyBorder="1" applyAlignment="1">
      <alignment horizontal="left" vertical="center" wrapText="1"/>
    </xf>
    <xf numFmtId="165" fontId="28" fillId="24" borderId="17" xfId="0" applyNumberFormat="1" applyFont="1" applyFill="1" applyBorder="1" applyAlignment="1" applyProtection="1">
      <alignment horizontal="left" vertical="center" wrapText="1"/>
    </xf>
    <xf numFmtId="165" fontId="28" fillId="24" borderId="18" xfId="0" applyNumberFormat="1" applyFont="1" applyFill="1" applyBorder="1" applyAlignment="1" applyProtection="1">
      <alignment horizontal="left" vertical="center" wrapText="1"/>
    </xf>
    <xf numFmtId="166" fontId="28" fillId="24" borderId="18" xfId="32" applyNumberFormat="1" applyFont="1" applyFill="1" applyBorder="1" applyAlignment="1">
      <alignment vertical="center" wrapText="1"/>
    </xf>
    <xf numFmtId="165" fontId="28" fillId="0" borderId="17" xfId="0" applyNumberFormat="1" applyFont="1" applyFill="1" applyBorder="1" applyAlignment="1" applyProtection="1">
      <alignment horizontal="left" vertical="center" wrapText="1"/>
    </xf>
    <xf numFmtId="165" fontId="28" fillId="0" borderId="18" xfId="0" applyNumberFormat="1" applyFont="1" applyFill="1" applyBorder="1" applyAlignment="1" applyProtection="1">
      <alignment horizontal="left" vertical="center" wrapText="1"/>
    </xf>
    <xf numFmtId="166" fontId="28" fillId="0" borderId="18" xfId="32" applyNumberFormat="1" applyFont="1" applyFill="1" applyBorder="1" applyAlignment="1">
      <alignment vertical="center" wrapText="1"/>
    </xf>
    <xf numFmtId="166" fontId="28" fillId="24" borderId="18" xfId="0" applyNumberFormat="1" applyFont="1" applyFill="1" applyBorder="1" applyAlignment="1">
      <alignment vertical="center" wrapText="1"/>
    </xf>
    <xf numFmtId="0" fontId="22" fillId="25" borderId="20" xfId="0" applyFont="1" applyFill="1" applyBorder="1" applyAlignment="1">
      <alignment horizontal="left" vertical="center" wrapText="1"/>
    </xf>
    <xf numFmtId="0" fontId="22" fillId="25" borderId="21" xfId="0" applyFont="1" applyFill="1" applyBorder="1" applyAlignment="1">
      <alignment horizontal="left" vertical="center" wrapText="1"/>
    </xf>
    <xf numFmtId="166" fontId="22" fillId="25" borderId="21" xfId="32" applyNumberFormat="1" applyFont="1" applyFill="1" applyBorder="1" applyAlignment="1">
      <alignment horizontal="left" vertical="center" wrapText="1"/>
    </xf>
    <xf numFmtId="9" fontId="22" fillId="25" borderId="22" xfId="35" applyNumberFormat="1" applyFont="1" applyFill="1" applyBorder="1" applyAlignment="1">
      <alignment horizontal="left" vertical="center" wrapText="1"/>
    </xf>
    <xf numFmtId="9" fontId="28" fillId="25" borderId="18" xfId="35" applyNumberFormat="1" applyFont="1" applyFill="1" applyBorder="1" applyAlignment="1">
      <alignment horizontal="center" vertical="center" wrapText="1"/>
    </xf>
    <xf numFmtId="0" fontId="20" fillId="24" borderId="10" xfId="0" applyFont="1" applyFill="1" applyBorder="1" applyAlignment="1">
      <alignment horizontal="center" vertical="center" wrapText="1"/>
    </xf>
    <xf numFmtId="0" fontId="22" fillId="24" borderId="10" xfId="0" applyFont="1" applyFill="1" applyBorder="1" applyAlignment="1">
      <alignment horizontal="center" vertical="center" wrapText="1"/>
    </xf>
    <xf numFmtId="0" fontId="27" fillId="0" borderId="0" xfId="0" applyFont="1" applyBorder="1" applyAlignment="1">
      <alignment horizontal="center" vertical="center"/>
    </xf>
    <xf numFmtId="0" fontId="22" fillId="24" borderId="12" xfId="0" applyFont="1" applyFill="1" applyBorder="1" applyAlignment="1">
      <alignment horizontal="center" vertical="center" wrapText="1"/>
    </xf>
  </cellXfs>
  <cellStyles count="45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a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40" builtinId="16" customBuiltin="1"/>
    <cellStyle name="Encabezado 4" xfId="23" builtinId="19" customBuiltin="1"/>
    <cellStyle name="Énfasis1" xfId="24" builtinId="29" customBuiltin="1"/>
    <cellStyle name="Énfasis2" xfId="25" builtinId="33" customBuiltin="1"/>
    <cellStyle name="Énfasis3" xfId="26" builtinId="37" customBuiltin="1"/>
    <cellStyle name="Énfasis4" xfId="27" builtinId="41" customBuiltin="1"/>
    <cellStyle name="Énfasis5" xfId="28" builtinId="45" customBuiltin="1"/>
    <cellStyle name="Énfasis6" xfId="29" builtinId="49" customBuiltin="1"/>
    <cellStyle name="Entrada" xfId="30" builtinId="20" customBuiltin="1"/>
    <cellStyle name="Incorrecto" xfId="31" builtinId="27" customBuiltin="1"/>
    <cellStyle name="Moneda" xfId="32" builtinId="4"/>
    <cellStyle name="Moneda [0]" xfId="44" builtinId="7"/>
    <cellStyle name="Neutral" xfId="33" builtinId="28" customBuiltin="1"/>
    <cellStyle name="Normal" xfId="0" builtinId="0"/>
    <cellStyle name="Notas" xfId="34" builtinId="10" customBuiltin="1"/>
    <cellStyle name="Porcentaje" xfId="35" builtinId="5"/>
    <cellStyle name="Salida" xfId="36" builtinId="21" customBuiltin="1"/>
    <cellStyle name="Texto de advertencia" xfId="37" builtinId="11" customBuiltin="1"/>
    <cellStyle name="Texto explicativo" xfId="38" builtinId="53" customBuiltin="1"/>
    <cellStyle name="Título" xfId="39" builtinId="15" customBuiltin="1"/>
    <cellStyle name="Título 2" xfId="41" builtinId="17" customBuiltin="1"/>
    <cellStyle name="Título 3" xfId="42" builtinId="18" customBuiltin="1"/>
    <cellStyle name="Total" xfId="43" builtinId="25" customBuiltin="1"/>
  </cellStyles>
  <dxfs count="0"/>
  <tableStyles count="0" defaultTableStyle="TableStyleMedium9" defaultPivotStyle="PivotStyleLight16"/>
  <colors>
    <mruColors>
      <color rgb="FFFEE8E6"/>
      <color rgb="FFFEE882"/>
      <color rgb="FFFFA1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510887</xdr:colOff>
      <xdr:row>0</xdr:row>
      <xdr:rowOff>0</xdr:rowOff>
    </xdr:from>
    <xdr:to>
      <xdr:col>0</xdr:col>
      <xdr:colOff>1809750</xdr:colOff>
      <xdr:row>2</xdr:row>
      <xdr:rowOff>194496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064"/>
        <a:stretch/>
      </xdr:blipFill>
      <xdr:spPr>
        <a:xfrm>
          <a:off x="510887" y="0"/>
          <a:ext cx="1298863" cy="8352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17"/>
  <sheetViews>
    <sheetView tabSelected="1" zoomScale="110" zoomScaleNormal="110" workbookViewId="0">
      <pane ySplit="7" topLeftCell="A11" activePane="bottomLeft" state="frozen"/>
      <selection activeCell="F1" sqref="F1"/>
      <selection pane="bottomLeft" activeCell="C17" sqref="C17"/>
    </sheetView>
  </sheetViews>
  <sheetFormatPr baseColWidth="10" defaultRowHeight="12.75" x14ac:dyDescent="0.2"/>
  <cols>
    <col min="1" max="1" width="39.28515625" style="7" customWidth="1"/>
    <col min="2" max="2" width="38.7109375" style="7" customWidth="1"/>
    <col min="3" max="10" width="22.42578125" style="7" customWidth="1"/>
    <col min="11" max="16" width="15.7109375" style="7" customWidth="1"/>
    <col min="17" max="17" width="15.7109375" style="9" customWidth="1"/>
    <col min="18" max="18" width="38.42578125" style="5" customWidth="1"/>
    <col min="19" max="16384" width="11.42578125" style="7"/>
  </cols>
  <sheetData>
    <row r="1" spans="1:18" ht="30.75" customHeight="1" thickBot="1" x14ac:dyDescent="0.25">
      <c r="A1" s="41"/>
      <c r="B1" s="41" t="s">
        <v>22</v>
      </c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3" t="s">
        <v>37</v>
      </c>
    </row>
    <row r="2" spans="1:18" ht="20.100000000000001" customHeight="1" thickBot="1" x14ac:dyDescent="0.25">
      <c r="A2" s="41"/>
      <c r="B2" s="42" t="s">
        <v>23</v>
      </c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3" t="s">
        <v>38</v>
      </c>
    </row>
    <row r="3" spans="1:18" ht="20.100000000000001" customHeight="1" thickBot="1" x14ac:dyDescent="0.25">
      <c r="A3" s="41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3" t="s">
        <v>39</v>
      </c>
    </row>
    <row r="4" spans="1:18" ht="8.25" customHeight="1" x14ac:dyDescent="0.2">
      <c r="A4" s="16"/>
      <c r="B4" s="1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8"/>
      <c r="R4" s="17"/>
    </row>
    <row r="5" spans="1:18" s="12" customFormat="1" ht="20.100000000000001" customHeight="1" x14ac:dyDescent="0.2">
      <c r="A5" s="10" t="s">
        <v>24</v>
      </c>
      <c r="B5" s="11">
        <v>2021</v>
      </c>
      <c r="D5" s="43" t="s">
        <v>40</v>
      </c>
      <c r="E5" s="43"/>
      <c r="F5" s="44" t="s">
        <v>41</v>
      </c>
      <c r="G5" s="44"/>
      <c r="H5" s="44"/>
      <c r="I5" s="4"/>
      <c r="J5" s="4"/>
      <c r="L5" s="13"/>
      <c r="M5" s="13"/>
      <c r="N5" s="14" t="s">
        <v>42</v>
      </c>
      <c r="O5" s="15"/>
      <c r="P5" s="15"/>
      <c r="Q5" s="11"/>
      <c r="R5" s="18"/>
    </row>
    <row r="6" spans="1:18" s="12" customFormat="1" ht="7.5" customHeight="1" x14ac:dyDescent="0.2">
      <c r="A6" s="16"/>
      <c r="B6" s="2"/>
      <c r="C6" s="19"/>
      <c r="D6" s="8"/>
      <c r="E6" s="8"/>
      <c r="F6" s="14"/>
      <c r="G6" s="13"/>
      <c r="H6" s="13"/>
      <c r="I6" s="13"/>
      <c r="J6" s="13"/>
      <c r="K6" s="13"/>
      <c r="L6" s="13"/>
      <c r="M6" s="13"/>
      <c r="N6" s="13"/>
      <c r="O6" s="13"/>
      <c r="P6" s="13"/>
      <c r="Q6" s="1"/>
      <c r="R6" s="18"/>
    </row>
    <row r="7" spans="1:18" s="6" customFormat="1" ht="15" customHeight="1" x14ac:dyDescent="0.2">
      <c r="A7" s="20" t="s">
        <v>0</v>
      </c>
      <c r="B7" s="21" t="s">
        <v>19</v>
      </c>
      <c r="C7" s="21" t="s">
        <v>29</v>
      </c>
      <c r="D7" s="21" t="s">
        <v>1</v>
      </c>
      <c r="E7" s="21" t="s">
        <v>3</v>
      </c>
      <c r="F7" s="21" t="s">
        <v>4</v>
      </c>
      <c r="G7" s="21" t="s">
        <v>5</v>
      </c>
      <c r="H7" s="21" t="s">
        <v>6</v>
      </c>
      <c r="I7" s="21" t="s">
        <v>7</v>
      </c>
      <c r="J7" s="21" t="s">
        <v>17</v>
      </c>
      <c r="K7" s="21" t="s">
        <v>8</v>
      </c>
      <c r="L7" s="21" t="s">
        <v>9</v>
      </c>
      <c r="M7" s="21" t="s">
        <v>10</v>
      </c>
      <c r="N7" s="21" t="s">
        <v>11</v>
      </c>
      <c r="O7" s="21" t="s">
        <v>12</v>
      </c>
      <c r="P7" s="21" t="s">
        <v>21</v>
      </c>
      <c r="Q7" s="21" t="s">
        <v>2</v>
      </c>
      <c r="R7" s="22" t="s">
        <v>18</v>
      </c>
    </row>
    <row r="8" spans="1:18" s="5" customFormat="1" ht="42.75" customHeight="1" x14ac:dyDescent="0.2">
      <c r="A8" s="23" t="s">
        <v>26</v>
      </c>
      <c r="B8" s="24" t="s">
        <v>25</v>
      </c>
      <c r="C8" s="25">
        <f>1200000*3</f>
        <v>3600000</v>
      </c>
      <c r="D8" s="28">
        <v>0</v>
      </c>
      <c r="E8" s="28">
        <v>0</v>
      </c>
      <c r="F8" s="28">
        <v>0</v>
      </c>
      <c r="G8" s="28">
        <v>0</v>
      </c>
      <c r="H8" s="28">
        <v>0</v>
      </c>
      <c r="I8" s="28">
        <v>0</v>
      </c>
      <c r="J8" s="28">
        <v>0</v>
      </c>
      <c r="K8" s="28">
        <v>1200000</v>
      </c>
      <c r="L8" s="28">
        <v>1200000</v>
      </c>
      <c r="M8" s="28">
        <v>1200000</v>
      </c>
      <c r="N8" s="35">
        <v>0</v>
      </c>
      <c r="O8" s="35">
        <v>0</v>
      </c>
      <c r="P8" s="28">
        <f>IFERROR(SUM(D8:O8),"")</f>
        <v>3600000</v>
      </c>
      <c r="Q8" s="26">
        <f>IFERROR((P8/C8),"")</f>
        <v>1</v>
      </c>
      <c r="R8" s="27"/>
    </row>
    <row r="9" spans="1:18" s="5" customFormat="1" ht="42.75" customHeight="1" x14ac:dyDescent="0.2">
      <c r="A9" s="23" t="s">
        <v>27</v>
      </c>
      <c r="B9" s="24" t="s">
        <v>28</v>
      </c>
      <c r="C9" s="28">
        <v>1500000</v>
      </c>
      <c r="D9" s="28">
        <v>0</v>
      </c>
      <c r="E9" s="28">
        <v>0</v>
      </c>
      <c r="F9" s="28">
        <v>0</v>
      </c>
      <c r="G9" s="28">
        <v>0</v>
      </c>
      <c r="H9" s="28">
        <v>0</v>
      </c>
      <c r="I9" s="28">
        <v>0</v>
      </c>
      <c r="J9" s="28">
        <v>0</v>
      </c>
      <c r="K9" s="28">
        <v>400000</v>
      </c>
      <c r="L9" s="28">
        <v>400000</v>
      </c>
      <c r="M9" s="28">
        <v>400000</v>
      </c>
      <c r="N9" s="35">
        <v>0</v>
      </c>
      <c r="O9" s="35">
        <v>0</v>
      </c>
      <c r="P9" s="28">
        <f t="shared" ref="P9:P16" si="0">IFERROR(SUM(D9:O9),"")</f>
        <v>1200000</v>
      </c>
      <c r="Q9" s="26">
        <f t="shared" ref="Q9:Q16" si="1">IFERROR((P9/C9),"")</f>
        <v>0.8</v>
      </c>
      <c r="R9" s="27"/>
    </row>
    <row r="10" spans="1:18" ht="42.75" customHeight="1" x14ac:dyDescent="0.2">
      <c r="A10" s="29" t="s">
        <v>14</v>
      </c>
      <c r="B10" s="30" t="s">
        <v>30</v>
      </c>
      <c r="C10" s="31">
        <v>300000</v>
      </c>
      <c r="D10" s="31">
        <v>0</v>
      </c>
      <c r="E10" s="31">
        <v>0</v>
      </c>
      <c r="F10" s="31">
        <v>0</v>
      </c>
      <c r="G10" s="31">
        <v>0</v>
      </c>
      <c r="H10" s="31">
        <v>0</v>
      </c>
      <c r="I10" s="31">
        <v>56800</v>
      </c>
      <c r="J10" s="31">
        <f>24400+56800</f>
        <v>81200</v>
      </c>
      <c r="K10" s="35">
        <v>90100</v>
      </c>
      <c r="L10" s="35">
        <v>0</v>
      </c>
      <c r="M10" s="35">
        <v>0</v>
      </c>
      <c r="N10" s="35">
        <v>0</v>
      </c>
      <c r="O10" s="35">
        <v>0</v>
      </c>
      <c r="P10" s="28">
        <f t="shared" si="0"/>
        <v>228100</v>
      </c>
      <c r="Q10" s="26">
        <f t="shared" si="1"/>
        <v>0.76033333333333331</v>
      </c>
      <c r="R10" s="27"/>
    </row>
    <row r="11" spans="1:18" ht="42.75" customHeight="1" x14ac:dyDescent="0.2">
      <c r="A11" s="29" t="s">
        <v>15</v>
      </c>
      <c r="B11" s="30" t="s">
        <v>30</v>
      </c>
      <c r="C11" s="31">
        <f>32000*8</f>
        <v>256000</v>
      </c>
      <c r="D11" s="31">
        <v>0</v>
      </c>
      <c r="E11" s="31">
        <v>0</v>
      </c>
      <c r="F11" s="31">
        <v>0</v>
      </c>
      <c r="G11" s="31">
        <v>0</v>
      </c>
      <c r="H11" s="31">
        <v>0</v>
      </c>
      <c r="I11" s="31">
        <v>0</v>
      </c>
      <c r="J11" s="31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28">
        <f t="shared" si="0"/>
        <v>0</v>
      </c>
      <c r="Q11" s="26">
        <f t="shared" si="1"/>
        <v>0</v>
      </c>
      <c r="R11" s="27"/>
    </row>
    <row r="12" spans="1:18" ht="42.75" customHeight="1" x14ac:dyDescent="0.2">
      <c r="A12" s="29" t="s">
        <v>16</v>
      </c>
      <c r="B12" s="30" t="s">
        <v>30</v>
      </c>
      <c r="C12" s="31">
        <f>34000*5</f>
        <v>170000</v>
      </c>
      <c r="D12" s="31">
        <v>0</v>
      </c>
      <c r="E12" s="31">
        <v>0</v>
      </c>
      <c r="F12" s="31">
        <v>0</v>
      </c>
      <c r="G12" s="31">
        <v>0</v>
      </c>
      <c r="H12" s="31">
        <v>0</v>
      </c>
      <c r="I12" s="31">
        <v>0</v>
      </c>
      <c r="J12" s="31">
        <v>0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28">
        <f t="shared" si="0"/>
        <v>0</v>
      </c>
      <c r="Q12" s="26">
        <f t="shared" si="1"/>
        <v>0</v>
      </c>
      <c r="R12" s="27"/>
    </row>
    <row r="13" spans="1:18" ht="42.75" customHeight="1" x14ac:dyDescent="0.2">
      <c r="A13" s="29" t="s">
        <v>34</v>
      </c>
      <c r="B13" s="30" t="s">
        <v>32</v>
      </c>
      <c r="C13" s="31">
        <v>400000</v>
      </c>
      <c r="D13" s="31">
        <v>0</v>
      </c>
      <c r="E13" s="31">
        <v>0</v>
      </c>
      <c r="F13" s="31">
        <v>0</v>
      </c>
      <c r="G13" s="31">
        <v>0</v>
      </c>
      <c r="H13" s="31">
        <v>0</v>
      </c>
      <c r="I13" s="31">
        <v>0</v>
      </c>
      <c r="J13" s="31">
        <v>305000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28">
        <f t="shared" si="0"/>
        <v>305000</v>
      </c>
      <c r="Q13" s="26">
        <f t="shared" si="1"/>
        <v>0.76249999999999996</v>
      </c>
      <c r="R13" s="27"/>
    </row>
    <row r="14" spans="1:18" ht="42.75" customHeight="1" x14ac:dyDescent="0.2">
      <c r="A14" s="32" t="s">
        <v>31</v>
      </c>
      <c r="B14" s="33" t="s">
        <v>20</v>
      </c>
      <c r="C14" s="34">
        <v>1500000</v>
      </c>
      <c r="D14" s="34">
        <v>0</v>
      </c>
      <c r="E14" s="34">
        <v>90200</v>
      </c>
      <c r="F14" s="34">
        <f>238602+172600</f>
        <v>411202</v>
      </c>
      <c r="G14" s="34">
        <v>0</v>
      </c>
      <c r="H14" s="34">
        <v>0</v>
      </c>
      <c r="I14" s="34">
        <v>0</v>
      </c>
      <c r="J14" s="34">
        <v>720400</v>
      </c>
      <c r="K14" s="35">
        <f>245197+3161</f>
        <v>248358</v>
      </c>
      <c r="L14" s="35">
        <v>0</v>
      </c>
      <c r="M14" s="35">
        <v>0</v>
      </c>
      <c r="N14" s="35">
        <v>0</v>
      </c>
      <c r="O14" s="35">
        <v>0</v>
      </c>
      <c r="P14" s="28">
        <f t="shared" si="0"/>
        <v>1470160</v>
      </c>
      <c r="Q14" s="26">
        <f t="shared" si="1"/>
        <v>0.98010666666666668</v>
      </c>
      <c r="R14" s="27"/>
    </row>
    <row r="15" spans="1:18" ht="42.75" customHeight="1" x14ac:dyDescent="0.2">
      <c r="A15" s="23" t="s">
        <v>36</v>
      </c>
      <c r="B15" s="24" t="s">
        <v>33</v>
      </c>
      <c r="C15" s="31">
        <v>100000</v>
      </c>
      <c r="D15" s="31">
        <v>0</v>
      </c>
      <c r="E15" s="31">
        <v>0</v>
      </c>
      <c r="F15" s="31">
        <v>60000</v>
      </c>
      <c r="G15" s="31">
        <v>0</v>
      </c>
      <c r="H15" s="31">
        <v>0</v>
      </c>
      <c r="I15" s="31"/>
      <c r="J15" s="31"/>
      <c r="K15" s="31"/>
      <c r="L15" s="35">
        <v>0</v>
      </c>
      <c r="M15" s="35">
        <v>0</v>
      </c>
      <c r="N15" s="35">
        <v>0</v>
      </c>
      <c r="O15" s="35">
        <v>0</v>
      </c>
      <c r="P15" s="28">
        <f t="shared" si="0"/>
        <v>60000</v>
      </c>
      <c r="Q15" s="26">
        <f t="shared" si="1"/>
        <v>0.6</v>
      </c>
      <c r="R15" s="27"/>
    </row>
    <row r="16" spans="1:18" ht="42.75" customHeight="1" x14ac:dyDescent="0.2">
      <c r="A16" s="23" t="s">
        <v>35</v>
      </c>
      <c r="B16" s="24" t="s">
        <v>33</v>
      </c>
      <c r="C16" s="31">
        <v>100000</v>
      </c>
      <c r="D16" s="31">
        <v>0</v>
      </c>
      <c r="E16" s="31">
        <v>0</v>
      </c>
      <c r="F16" s="31">
        <v>0</v>
      </c>
      <c r="G16" s="31">
        <v>75000</v>
      </c>
      <c r="H16" s="31">
        <v>0</v>
      </c>
      <c r="I16" s="31">
        <v>0</v>
      </c>
      <c r="J16" s="31">
        <v>0</v>
      </c>
      <c r="K16" s="31">
        <v>0</v>
      </c>
      <c r="L16" s="35">
        <v>0</v>
      </c>
      <c r="M16" s="35">
        <v>0</v>
      </c>
      <c r="N16" s="35">
        <v>0</v>
      </c>
      <c r="O16" s="35">
        <v>0</v>
      </c>
      <c r="P16" s="28">
        <f t="shared" si="0"/>
        <v>75000</v>
      </c>
      <c r="Q16" s="26">
        <f t="shared" si="1"/>
        <v>0.75</v>
      </c>
      <c r="R16" s="27"/>
    </row>
    <row r="17" spans="1:18" ht="42.75" customHeight="1" x14ac:dyDescent="0.2">
      <c r="A17" s="36" t="s">
        <v>13</v>
      </c>
      <c r="B17" s="37"/>
      <c r="C17" s="38">
        <f t="shared" ref="C17:P17" si="2">SUM(C8:C16)</f>
        <v>7926000</v>
      </c>
      <c r="D17" s="38">
        <f t="shared" si="2"/>
        <v>0</v>
      </c>
      <c r="E17" s="38">
        <f t="shared" si="2"/>
        <v>90200</v>
      </c>
      <c r="F17" s="38">
        <f t="shared" si="2"/>
        <v>471202</v>
      </c>
      <c r="G17" s="38">
        <f t="shared" si="2"/>
        <v>75000</v>
      </c>
      <c r="H17" s="38">
        <f t="shared" si="2"/>
        <v>0</v>
      </c>
      <c r="I17" s="38">
        <f t="shared" si="2"/>
        <v>56800</v>
      </c>
      <c r="J17" s="38">
        <f t="shared" si="2"/>
        <v>1106600</v>
      </c>
      <c r="K17" s="38">
        <f t="shared" si="2"/>
        <v>1938458</v>
      </c>
      <c r="L17" s="38">
        <f t="shared" si="2"/>
        <v>1600000</v>
      </c>
      <c r="M17" s="38">
        <f t="shared" si="2"/>
        <v>1600000</v>
      </c>
      <c r="N17" s="38">
        <f t="shared" si="2"/>
        <v>0</v>
      </c>
      <c r="O17" s="38">
        <f t="shared" si="2"/>
        <v>0</v>
      </c>
      <c r="P17" s="38">
        <f t="shared" si="2"/>
        <v>6938260</v>
      </c>
      <c r="Q17" s="40">
        <f>IFERROR((P17/C17),"")</f>
        <v>0.87537976280595509</v>
      </c>
      <c r="R17" s="39"/>
    </row>
  </sheetData>
  <mergeCells count="5">
    <mergeCell ref="B1:Q1"/>
    <mergeCell ref="B2:Q3"/>
    <mergeCell ref="A1:A3"/>
    <mergeCell ref="D5:E5"/>
    <mergeCell ref="F5:H5"/>
  </mergeCells>
  <phoneticPr fontId="0" type="noConversion"/>
  <pageMargins left="0.75" right="0.75" top="1" bottom="1" header="0" footer="0"/>
  <pageSetup scale="30" fitToHeight="0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PRESUPUESTO SST</vt:lpstr>
    </vt:vector>
  </TitlesOfParts>
  <Company>COLMENA ARP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TM02ALCA</dc:creator>
  <cp:lastModifiedBy>excavaciones correa mejia</cp:lastModifiedBy>
  <cp:lastPrinted>2022-05-20T18:45:53Z</cp:lastPrinted>
  <dcterms:created xsi:type="dcterms:W3CDTF">2015-06-30T16:47:56Z</dcterms:created>
  <dcterms:modified xsi:type="dcterms:W3CDTF">2022-05-20T18:48:13Z</dcterms:modified>
</cp:coreProperties>
</file>